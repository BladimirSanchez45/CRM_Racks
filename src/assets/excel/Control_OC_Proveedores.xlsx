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3" autoFilterDateGrouping="1"/>
  </bookViews>
  <sheets>
    <sheet xmlns:r="http://schemas.openxmlformats.org/officeDocument/2006/relationships" name="Control OC" sheetId="1" state="visible" r:id="rId1"/>
    <sheet xmlns:r="http://schemas.openxmlformats.org/officeDocument/2006/relationships" name="Pagos" sheetId="2" state="visible" r:id="rId2"/>
    <sheet xmlns:r="http://schemas.openxmlformats.org/officeDocument/2006/relationships" name="Proveedores" sheetId="3" state="visible" r:id="rId3"/>
    <sheet xmlns:r="http://schemas.openxmlformats.org/officeDocument/2006/relationships" name="Dashboard" sheetId="4" state="visible" r:id="rId4"/>
    <sheet xmlns:r="http://schemas.openxmlformats.org/officeDocument/2006/relationships" name="Instrucciones" sheetId="5" state="visible" r:id="rId5"/>
    <sheet xmlns:r="http://schemas.openxmlformats.org/officeDocument/2006/relationships" name="Config" sheetId="6" state="hidden" r:id="rId6"/>
  </sheets>
  <definedNames>
    <definedName name="_xlnm._FilterDatabase" localSheetId="0" hidden="1">'Control OC'!$A$2:$O$301</definedName>
    <definedName name="_xlnm._FilterDatabase" localSheetId="1" hidden="1">'Pagos'!$A$2:$H$500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$#,##0.00;[Red]($#,##0.00);-"/>
    <numFmt numFmtId="166" formatCode="0.0%"/>
    <numFmt numFmtId="167" formatCode="dd/mm/yyyy"/>
  </numFmts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color rgb="000563C1"/>
    </font>
    <font>
      <color rgb="00000000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bottom style="medium">
        <color rgb="001F4E78"/>
      </bottom>
    </border>
    <border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center" wrapText="1"/>
    </xf>
    <xf numFmtId="167" fontId="3" fillId="0" borderId="2" applyAlignment="1" pivotButton="0" quotePrefix="0" xfId="0">
      <alignment vertical="center" wrapText="1"/>
    </xf>
    <xf numFmtId="165" fontId="3" fillId="0" borderId="2" applyAlignment="1" pivotButton="0" quotePrefix="0" xfId="0">
      <alignment vertical="center" wrapText="1"/>
    </xf>
    <xf numFmtId="165" fontId="4" fillId="0" borderId="2" applyAlignment="1" pivotButton="0" quotePrefix="0" xfId="0">
      <alignment vertical="center" wrapText="1"/>
    </xf>
    <xf numFmtId="166" fontId="4" fillId="0" borderId="2" applyAlignment="1" pivotButton="0" quotePrefix="0" xfId="0">
      <alignment vertical="center" wrapText="1"/>
    </xf>
    <xf numFmtId="167" fontId="4" fillId="0" borderId="2" applyAlignment="1" pivotButton="0" quotePrefix="0" xfId="0">
      <alignment vertical="center" wrapText="1"/>
    </xf>
    <xf numFmtId="0" fontId="4" fillId="0" borderId="2" applyAlignment="1" pivotButton="0" quotePrefix="0" xfId="0">
      <alignment vertical="center" wrapText="1"/>
    </xf>
    <xf numFmtId="0" fontId="2" fillId="2" borderId="0" applyAlignment="1" pivotButton="0" quotePrefix="0" xfId="0">
      <alignment horizontal="center" wrapText="1"/>
    </xf>
    <xf numFmtId="0" fontId="2" fillId="2" borderId="2" pivotButton="0" quotePrefix="0" xfId="0"/>
    <xf numFmtId="0" fontId="0" fillId="0" borderId="2" pivotButton="0" quotePrefix="0" xfId="0"/>
    <xf numFmtId="0" fontId="5" fillId="0" borderId="2" pivotButton="0" quotePrefix="0" xfId="0"/>
    <xf numFmtId="165" fontId="5" fillId="3" borderId="2" pivotButton="0" quotePrefix="0" xfId="0"/>
    <xf numFmtId="0" fontId="5" fillId="4" borderId="2" pivotButton="0" quotePrefix="0" xfId="0"/>
    <xf numFmtId="17" fontId="0" fillId="0" borderId="2" pivotButton="0" quotePrefix="0" xfId="0"/>
    <xf numFmtId="165" fontId="0" fillId="0" borderId="2" pivotButton="0" quotePrefix="0" xfId="0"/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D9EAD3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 por estatus</a:t>
            </a:r>
          </a:p>
        </rich>
      </tx>
    </title>
    <plotArea>
      <pieChart>
        <varyColors val="1"/>
        <ser>
          <idx val="0"/>
          <order val="0"/>
          <tx>
            <strRef>
              <f>'Dashboard'!B11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'Dashboard'!$A$12:$A$16</f>
            </numRef>
          </cat>
          <val>
            <numRef>
              <f>'Dashboard'!$B$12:$B$16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Pagos por mes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'Dashboard'!$D$12:$D$23</f>
            </numRef>
          </cat>
          <val>
            <numRef>
              <f>'Dashboard'!$E$12:$E$23</f>
            </numRef>
          </val>
        </ser>
        <ser>
          <idx val="1"/>
          <order val="1"/>
          <tx>
            <strRef>
              <f>'Dashboard'!F11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'Dashboard'!$D$12:$D$23</f>
            </numRef>
          </cat>
          <val>
            <numRef>
              <f>'Dashboard'!$F$12:$F$23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Importe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ChatGPT</author>
  </authors>
  <commentList>
    <comment ref="F2" authorId="0" shapeId="0">
      <text>
        <t>Captura el monto total de la orden de compra.</t>
      </text>
    </comment>
    <comment ref="G2" authorId="0" shapeId="0">
      <text>
        <t>Calculado automáticamente desde la hoja Pagos, solo pagos con Estado Pago = Pagado.</t>
      </text>
    </comment>
    <comment ref="K2" authorId="0" shapeId="0">
      <text>
        <t>Calculado automáticamente con la fecha mínima de pagos programados para la OC.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32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17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_Control_OC" displayName="Tabla_Control_OC" ref="A2:O301" headerRowCount="1">
  <autoFilter ref="A2:O301"/>
  <tableColumns count="15">
    <tableColumn id="1" name="OC"/>
    <tableColumn id="2" name="Fecha OC"/>
    <tableColumn id="3" name="Proveedor"/>
    <tableColumn id="4" name="Descripción"/>
    <tableColumn id="5" name="Condiciones"/>
    <tableColumn id="6" name="Monto Total"/>
    <tableColumn id="7" name="Pagado"/>
    <tableColumn id="8" name="Saldo"/>
    <tableColumn id="9" name="% Pagado"/>
    <tableColumn id="10" name="Fecha Último Pago"/>
    <tableColumn id="11" name="Fecha Próximo Pago"/>
    <tableColumn id="12" name="Días a Vencer"/>
    <tableColumn id="13" name="Estatus"/>
    <tableColumn id="14" name="Responsable"/>
    <tableColumn id="15" name="Comentario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_Pagos" displayName="Tabla_Pagos" ref="A2:H500" headerRowCount="1">
  <autoFilter ref="A2:H500"/>
  <tableColumns count="8">
    <tableColumn id="1" name="OC"/>
    <tableColumn id="2" name="No. Abono"/>
    <tableColumn id="3" name="Fecha Pago"/>
    <tableColumn id="4" name="Importe"/>
    <tableColumn id="5" name="Método / Ref."/>
    <tableColumn id="6" name="Estado Pago"/>
    <tableColumn id="7" name="Proveedor"/>
    <tableColumn id="8" name="Comentarios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Tabla_Proveedores" displayName="Tabla_Proveedores" ref="A2:G200" headerRowCount="1">
  <autoFilter ref="A2:G200"/>
  <tableColumns count="7">
    <tableColumn id="1" name="Proveedor"/>
    <tableColumn id="2" name="Contacto"/>
    <tableColumn id="3" name="Teléfono"/>
    <tableColumn id="4" name="Correo"/>
    <tableColumn id="5" name="Días Crédito"/>
    <tableColumn id="6" name="Cuenta / Banco"/>
    <tableColumn id="7" name="Comentario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26" customWidth="1" min="3" max="3"/>
    <col width="32" customWidth="1" min="4" max="4"/>
    <col width="16" customWidth="1" min="5" max="5"/>
    <col width="15" customWidth="1" min="6" max="6"/>
    <col width="15" customWidth="1" min="7" max="7"/>
    <col width="15" customWidth="1" min="8" max="8"/>
    <col width="11" customWidth="1" min="9" max="9"/>
    <col width="16" customWidth="1" min="10" max="10"/>
    <col width="16" customWidth="1" min="11" max="11"/>
    <col width="12" customWidth="1" min="12" max="12"/>
    <col width="13" customWidth="1" min="13" max="13"/>
    <col width="18" customWidth="1" min="14" max="14"/>
    <col width="32" customWidth="1" min="15" max="15"/>
  </cols>
  <sheetData>
    <row r="1" ht="26" customHeight="1">
      <c r="A1" s="1" t="inlineStr">
        <is>
          <t>CONTROL DE ÓRDENES DE COMPRA Y PAGOS A PROVEEDOR</t>
        </is>
      </c>
    </row>
    <row r="2" ht="36" customHeight="1">
      <c r="A2" s="2" t="inlineStr">
        <is>
          <t>OC</t>
        </is>
      </c>
      <c r="B2" s="2" t="inlineStr">
        <is>
          <t>Fecha OC</t>
        </is>
      </c>
      <c r="C2" s="2" t="inlineStr">
        <is>
          <t>Proveedor</t>
        </is>
      </c>
      <c r="D2" s="2" t="inlineStr">
        <is>
          <t>Descripción</t>
        </is>
      </c>
      <c r="E2" s="2" t="inlineStr">
        <is>
          <t>Condiciones</t>
        </is>
      </c>
      <c r="F2" s="2" t="inlineStr">
        <is>
          <t>Monto Total</t>
        </is>
      </c>
      <c r="G2" s="2" t="inlineStr">
        <is>
          <t>Pagado</t>
        </is>
      </c>
      <c r="H2" s="2" t="inlineStr">
        <is>
          <t>Saldo</t>
        </is>
      </c>
      <c r="I2" s="2" t="inlineStr">
        <is>
          <t>% Pagado</t>
        </is>
      </c>
      <c r="J2" s="2" t="inlineStr">
        <is>
          <t>Fecha Último Pago</t>
        </is>
      </c>
      <c r="K2" s="2" t="inlineStr">
        <is>
          <t>Fecha Próximo Pago</t>
        </is>
      </c>
      <c r="L2" s="2" t="inlineStr">
        <is>
          <t>Días a Vencer</t>
        </is>
      </c>
      <c r="M2" s="2" t="inlineStr">
        <is>
          <t>Estatus</t>
        </is>
      </c>
      <c r="N2" s="2" t="inlineStr">
        <is>
          <t>Responsable</t>
        </is>
      </c>
      <c r="O2" s="2" t="inlineStr">
        <is>
          <t>Comentarios</t>
        </is>
      </c>
    </row>
    <row r="3">
      <c r="A3" s="3" t="inlineStr">
        <is>
          <t>OC-STOCK 5</t>
        </is>
      </c>
      <c r="B3" s="4" t="n">
        <v>45467</v>
      </c>
      <c r="C3" s="3" t="inlineStr">
        <is>
          <t>Proveedor ejemplo A</t>
        </is>
      </c>
      <c r="D3" s="3" t="inlineStr">
        <is>
          <t>Stock / compra general</t>
        </is>
      </c>
      <c r="E3" s="3" t="inlineStr">
        <is>
          <t>Parcialidades</t>
        </is>
      </c>
      <c r="F3" s="5" t="n">
        <v>967150</v>
      </c>
      <c r="G3" s="6">
        <f>IF($A3="","",SUMIFS(Pagos!$D:$D,Pagos!$A:$A,$A3,Pagos!$F:$F,"Pagado"))</f>
        <v/>
      </c>
      <c r="H3" s="6">
        <f>IF($A3="","",$F3-$G3)</f>
        <v/>
      </c>
      <c r="I3" s="7">
        <f>IF($A3="","",IF($F3=0,0,$G3/$F3))</f>
        <v/>
      </c>
      <c r="J3" s="8">
        <f>IF($A3="","",IFERROR(MAXIFS(Pagos!$C:$C,Pagos!$A:$A,$A3,Pagos!$F:$F,"Pagado"),""))</f>
        <v/>
      </c>
      <c r="K3" s="8">
        <f>IF($A3="","",IFERROR(MINIFS(Pagos!$C:$C,Pagos!$A:$A,$A3,Pagos!$F:$F,"Programado"),""))</f>
        <v/>
      </c>
      <c r="L3" s="9">
        <f>IF($A3="","",IF($K3="","",$K3-TODAY()))</f>
        <v/>
      </c>
      <c r="M3" s="9">
        <f>IF($A3="","",IF($H3&lt;=0,"Liquidada",IF(AND($K3&lt;&gt;"",$K3&lt;TODAY()),"Vencida",IF($G3&gt;0,"Parcial","Pendiente"))))</f>
        <v/>
      </c>
      <c r="N3" s="3" t="inlineStr">
        <is>
          <t>Administración</t>
        </is>
      </c>
      <c r="O3" s="3" t="inlineStr"/>
    </row>
    <row r="4">
      <c r="A4" s="3" t="inlineStr">
        <is>
          <t>OC-2103</t>
        </is>
      </c>
      <c r="B4" s="4" t="n">
        <v>45688</v>
      </c>
      <c r="C4" s="3" t="inlineStr">
        <is>
          <t>Proveedor ejemplo B</t>
        </is>
      </c>
      <c r="D4" s="3" t="inlineStr">
        <is>
          <t>Orden de compra OC-2103</t>
        </is>
      </c>
      <c r="E4" s="3" t="inlineStr">
        <is>
          <t>Parcialidades</t>
        </is>
      </c>
      <c r="F4" s="5" t="n">
        <v>2610000</v>
      </c>
      <c r="G4" s="6">
        <f>IF($A4="","",SUMIFS(Pagos!$D:$D,Pagos!$A:$A,$A4,Pagos!$F:$F,"Pagado"))</f>
        <v/>
      </c>
      <c r="H4" s="6">
        <f>IF($A4="","",$F4-$G4)</f>
        <v/>
      </c>
      <c r="I4" s="7">
        <f>IF($A4="","",IF($F4=0,0,$G4/$F4))</f>
        <v/>
      </c>
      <c r="J4" s="8">
        <f>IF($A4="","",IFERROR(MAXIFS(Pagos!$C:$C,Pagos!$A:$A,$A4,Pagos!$F:$F,"Pagado"),""))</f>
        <v/>
      </c>
      <c r="K4" s="8">
        <f>IF($A4="","",IFERROR(MINIFS(Pagos!$C:$C,Pagos!$A:$A,$A4,Pagos!$F:$F,"Programado"),""))</f>
        <v/>
      </c>
      <c r="L4" s="9">
        <f>IF($A4="","",IF($K4="","",$K4-TODAY()))</f>
        <v/>
      </c>
      <c r="M4" s="9">
        <f>IF($A4="","",IF($H4&lt;=0,"Liquidada",IF(AND($K4&lt;&gt;"",$K4&lt;TODAY()),"Vencida",IF($G4&gt;0,"Parcial","Pendiente"))))</f>
        <v/>
      </c>
      <c r="N4" s="3" t="inlineStr">
        <is>
          <t>Administración</t>
        </is>
      </c>
      <c r="O4" s="3" t="inlineStr">
        <is>
          <t>Revisar comentario de abono</t>
        </is>
      </c>
    </row>
    <row r="5">
      <c r="A5" s="3" t="n"/>
      <c r="B5" s="4" t="n"/>
      <c r="C5" s="3" t="n"/>
      <c r="D5" s="3" t="n"/>
      <c r="E5" s="3" t="n"/>
      <c r="F5" s="5" t="n"/>
      <c r="G5" s="6">
        <f>IF($A5="","",SUMIFS(Pagos!$D:$D,Pagos!$A:$A,$A5,Pagos!$F:$F,"Pagado"))</f>
        <v/>
      </c>
      <c r="H5" s="6">
        <f>IF($A5="","",$F5-$G5)</f>
        <v/>
      </c>
      <c r="I5" s="7">
        <f>IF($A5="","",IF($F5=0,0,$G5/$F5))</f>
        <v/>
      </c>
      <c r="J5" s="8">
        <f>IF($A5="","",IFERROR(MAXIFS(Pagos!$C:$C,Pagos!$A:$A,$A5,Pagos!$F:$F,"Pagado"),""))</f>
        <v/>
      </c>
      <c r="K5" s="8">
        <f>IF($A5="","",IFERROR(MINIFS(Pagos!$C:$C,Pagos!$A:$A,$A5,Pagos!$F:$F,"Programado"),""))</f>
        <v/>
      </c>
      <c r="L5" s="9">
        <f>IF($A5="","",IF($K5="","",$K5-TODAY()))</f>
        <v/>
      </c>
      <c r="M5" s="9">
        <f>IF($A5="","",IF($H5&lt;=0,"Liquidada",IF(AND($K5&lt;&gt;"",$K5&lt;TODAY()),"Vencida",IF($G5&gt;0,"Parcial","Pendiente"))))</f>
        <v/>
      </c>
      <c r="N5" s="3" t="n"/>
      <c r="O5" s="3" t="n"/>
    </row>
    <row r="6">
      <c r="A6" s="3" t="n"/>
      <c r="B6" s="4" t="n"/>
      <c r="C6" s="3" t="n"/>
      <c r="D6" s="3" t="n"/>
      <c r="E6" s="3" t="n"/>
      <c r="F6" s="5" t="n"/>
      <c r="G6" s="6">
        <f>IF($A6="","",SUMIFS(Pagos!$D:$D,Pagos!$A:$A,$A6,Pagos!$F:$F,"Pagado"))</f>
        <v/>
      </c>
      <c r="H6" s="6">
        <f>IF($A6="","",$F6-$G6)</f>
        <v/>
      </c>
      <c r="I6" s="7">
        <f>IF($A6="","",IF($F6=0,0,$G6/$F6))</f>
        <v/>
      </c>
      <c r="J6" s="8">
        <f>IF($A6="","",IFERROR(MAXIFS(Pagos!$C:$C,Pagos!$A:$A,$A6,Pagos!$F:$F,"Pagado"),""))</f>
        <v/>
      </c>
      <c r="K6" s="8">
        <f>IF($A6="","",IFERROR(MINIFS(Pagos!$C:$C,Pagos!$A:$A,$A6,Pagos!$F:$F,"Programado"),""))</f>
        <v/>
      </c>
      <c r="L6" s="9">
        <f>IF($A6="","",IF($K6="","",$K6-TODAY()))</f>
        <v/>
      </c>
      <c r="M6" s="9">
        <f>IF($A6="","",IF($H6&lt;=0,"Liquidada",IF(AND($K6&lt;&gt;"",$K6&lt;TODAY()),"Vencida",IF($G6&gt;0,"Parcial","Pendiente"))))</f>
        <v/>
      </c>
      <c r="N6" s="3" t="n"/>
      <c r="O6" s="3" t="n"/>
    </row>
    <row r="7">
      <c r="A7" s="3" t="n"/>
      <c r="B7" s="4" t="n"/>
      <c r="C7" s="3" t="n"/>
      <c r="D7" s="3" t="n"/>
      <c r="E7" s="3" t="n"/>
      <c r="F7" s="5" t="n"/>
      <c r="G7" s="6">
        <f>IF($A7="","",SUMIFS(Pagos!$D:$D,Pagos!$A:$A,$A7,Pagos!$F:$F,"Pagado"))</f>
        <v/>
      </c>
      <c r="H7" s="6">
        <f>IF($A7="","",$F7-$G7)</f>
        <v/>
      </c>
      <c r="I7" s="7">
        <f>IF($A7="","",IF($F7=0,0,$G7/$F7))</f>
        <v/>
      </c>
      <c r="J7" s="8">
        <f>IF($A7="","",IFERROR(MAXIFS(Pagos!$C:$C,Pagos!$A:$A,$A7,Pagos!$F:$F,"Pagado"),""))</f>
        <v/>
      </c>
      <c r="K7" s="8">
        <f>IF($A7="","",IFERROR(MINIFS(Pagos!$C:$C,Pagos!$A:$A,$A7,Pagos!$F:$F,"Programado"),""))</f>
        <v/>
      </c>
      <c r="L7" s="9">
        <f>IF($A7="","",IF($K7="","",$K7-TODAY()))</f>
        <v/>
      </c>
      <c r="M7" s="9">
        <f>IF($A7="","",IF($H7&lt;=0,"Liquidada",IF(AND($K7&lt;&gt;"",$K7&lt;TODAY()),"Vencida",IF($G7&gt;0,"Parcial","Pendiente"))))</f>
        <v/>
      </c>
      <c r="N7" s="3" t="n"/>
      <c r="O7" s="3" t="n"/>
    </row>
    <row r="8">
      <c r="A8" s="3" t="n"/>
      <c r="B8" s="4" t="n"/>
      <c r="C8" s="3" t="n"/>
      <c r="D8" s="3" t="n"/>
      <c r="E8" s="3" t="n"/>
      <c r="F8" s="5" t="n"/>
      <c r="G8" s="6">
        <f>IF($A8="","",SUMIFS(Pagos!$D:$D,Pagos!$A:$A,$A8,Pagos!$F:$F,"Pagado"))</f>
        <v/>
      </c>
      <c r="H8" s="6">
        <f>IF($A8="","",$F8-$G8)</f>
        <v/>
      </c>
      <c r="I8" s="7">
        <f>IF($A8="","",IF($F8=0,0,$G8/$F8))</f>
        <v/>
      </c>
      <c r="J8" s="8">
        <f>IF($A8="","",IFERROR(MAXIFS(Pagos!$C:$C,Pagos!$A:$A,$A8,Pagos!$F:$F,"Pagado"),""))</f>
        <v/>
      </c>
      <c r="K8" s="8">
        <f>IF($A8="","",IFERROR(MINIFS(Pagos!$C:$C,Pagos!$A:$A,$A8,Pagos!$F:$F,"Programado"),""))</f>
        <v/>
      </c>
      <c r="L8" s="9">
        <f>IF($A8="","",IF($K8="","",$K8-TODAY()))</f>
        <v/>
      </c>
      <c r="M8" s="9">
        <f>IF($A8="","",IF($H8&lt;=0,"Liquidada",IF(AND($K8&lt;&gt;"",$K8&lt;TODAY()),"Vencida",IF($G8&gt;0,"Parcial","Pendiente"))))</f>
        <v/>
      </c>
      <c r="N8" s="3" t="n"/>
      <c r="O8" s="3" t="n"/>
    </row>
    <row r="9">
      <c r="A9" s="3" t="n"/>
      <c r="B9" s="4" t="n"/>
      <c r="C9" s="3" t="n"/>
      <c r="D9" s="3" t="n"/>
      <c r="E9" s="3" t="n"/>
      <c r="F9" s="5" t="n"/>
      <c r="G9" s="6">
        <f>IF($A9="","",SUMIFS(Pagos!$D:$D,Pagos!$A:$A,$A9,Pagos!$F:$F,"Pagado"))</f>
        <v/>
      </c>
      <c r="H9" s="6">
        <f>IF($A9="","",$F9-$G9)</f>
        <v/>
      </c>
      <c r="I9" s="7">
        <f>IF($A9="","",IF($F9=0,0,$G9/$F9))</f>
        <v/>
      </c>
      <c r="J9" s="8">
        <f>IF($A9="","",IFERROR(MAXIFS(Pagos!$C:$C,Pagos!$A:$A,$A9,Pagos!$F:$F,"Pagado"),""))</f>
        <v/>
      </c>
      <c r="K9" s="8">
        <f>IF($A9="","",IFERROR(MINIFS(Pagos!$C:$C,Pagos!$A:$A,$A9,Pagos!$F:$F,"Programado"),""))</f>
        <v/>
      </c>
      <c r="L9" s="9">
        <f>IF($A9="","",IF($K9="","",$K9-TODAY()))</f>
        <v/>
      </c>
      <c r="M9" s="9">
        <f>IF($A9="","",IF($H9&lt;=0,"Liquidada",IF(AND($K9&lt;&gt;"",$K9&lt;TODAY()),"Vencida",IF($G9&gt;0,"Parcial","Pendiente"))))</f>
        <v/>
      </c>
      <c r="N9" s="3" t="n"/>
      <c r="O9" s="3" t="n"/>
    </row>
    <row r="10">
      <c r="A10" s="3" t="n"/>
      <c r="B10" s="4" t="n"/>
      <c r="C10" s="3" t="n"/>
      <c r="D10" s="3" t="n"/>
      <c r="E10" s="3" t="n"/>
      <c r="F10" s="5" t="n"/>
      <c r="G10" s="6">
        <f>IF($A10="","",SUMIFS(Pagos!$D:$D,Pagos!$A:$A,$A10,Pagos!$F:$F,"Pagado"))</f>
        <v/>
      </c>
      <c r="H10" s="6">
        <f>IF($A10="","",$F10-$G10)</f>
        <v/>
      </c>
      <c r="I10" s="7">
        <f>IF($A10="","",IF($F10=0,0,$G10/$F10))</f>
        <v/>
      </c>
      <c r="J10" s="8">
        <f>IF($A10="","",IFERROR(MAXIFS(Pagos!$C:$C,Pagos!$A:$A,$A10,Pagos!$F:$F,"Pagado"),""))</f>
        <v/>
      </c>
      <c r="K10" s="8">
        <f>IF($A10="","",IFERROR(MINIFS(Pagos!$C:$C,Pagos!$A:$A,$A10,Pagos!$F:$F,"Programado"),""))</f>
        <v/>
      </c>
      <c r="L10" s="9">
        <f>IF($A10="","",IF($K10="","",$K10-TODAY()))</f>
        <v/>
      </c>
      <c r="M10" s="9">
        <f>IF($A10="","",IF($H10&lt;=0,"Liquidada",IF(AND($K10&lt;&gt;"",$K10&lt;TODAY()),"Vencida",IF($G10&gt;0,"Parcial","Pendiente"))))</f>
        <v/>
      </c>
      <c r="N10" s="3" t="n"/>
      <c r="O10" s="3" t="n"/>
    </row>
    <row r="11">
      <c r="A11" s="3" t="n"/>
      <c r="B11" s="4" t="n"/>
      <c r="C11" s="3" t="n"/>
      <c r="D11" s="3" t="n"/>
      <c r="E11" s="3" t="n"/>
      <c r="F11" s="5" t="n"/>
      <c r="G11" s="6">
        <f>IF($A11="","",SUMIFS(Pagos!$D:$D,Pagos!$A:$A,$A11,Pagos!$F:$F,"Pagado"))</f>
        <v/>
      </c>
      <c r="H11" s="6">
        <f>IF($A11="","",$F11-$G11)</f>
        <v/>
      </c>
      <c r="I11" s="7">
        <f>IF($A11="","",IF($F11=0,0,$G11/$F11))</f>
        <v/>
      </c>
      <c r="J11" s="8">
        <f>IF($A11="","",IFERROR(MAXIFS(Pagos!$C:$C,Pagos!$A:$A,$A11,Pagos!$F:$F,"Pagado"),""))</f>
        <v/>
      </c>
      <c r="K11" s="8">
        <f>IF($A11="","",IFERROR(MINIFS(Pagos!$C:$C,Pagos!$A:$A,$A11,Pagos!$F:$F,"Programado"),""))</f>
        <v/>
      </c>
      <c r="L11" s="9">
        <f>IF($A11="","",IF($K11="","",$K11-TODAY()))</f>
        <v/>
      </c>
      <c r="M11" s="9">
        <f>IF($A11="","",IF($H11&lt;=0,"Liquidada",IF(AND($K11&lt;&gt;"",$K11&lt;TODAY()),"Vencida",IF($G11&gt;0,"Parcial","Pendiente"))))</f>
        <v/>
      </c>
      <c r="N11" s="3" t="n"/>
      <c r="O11" s="3" t="n"/>
    </row>
    <row r="12">
      <c r="A12" s="3" t="n"/>
      <c r="B12" s="4" t="n"/>
      <c r="C12" s="3" t="n"/>
      <c r="D12" s="3" t="n"/>
      <c r="E12" s="3" t="n"/>
      <c r="F12" s="5" t="n"/>
      <c r="G12" s="6">
        <f>IF($A12="","",SUMIFS(Pagos!$D:$D,Pagos!$A:$A,$A12,Pagos!$F:$F,"Pagado"))</f>
        <v/>
      </c>
      <c r="H12" s="6">
        <f>IF($A12="","",$F12-$G12)</f>
        <v/>
      </c>
      <c r="I12" s="7">
        <f>IF($A12="","",IF($F12=0,0,$G12/$F12))</f>
        <v/>
      </c>
      <c r="J12" s="8">
        <f>IF($A12="","",IFERROR(MAXIFS(Pagos!$C:$C,Pagos!$A:$A,$A12,Pagos!$F:$F,"Pagado"),""))</f>
        <v/>
      </c>
      <c r="K12" s="8">
        <f>IF($A12="","",IFERROR(MINIFS(Pagos!$C:$C,Pagos!$A:$A,$A12,Pagos!$F:$F,"Programado"),""))</f>
        <v/>
      </c>
      <c r="L12" s="9">
        <f>IF($A12="","",IF($K12="","",$K12-TODAY()))</f>
        <v/>
      </c>
      <c r="M12" s="9">
        <f>IF($A12="","",IF($H12&lt;=0,"Liquidada",IF(AND($K12&lt;&gt;"",$K12&lt;TODAY()),"Vencida",IF($G12&gt;0,"Parcial","Pendiente"))))</f>
        <v/>
      </c>
      <c r="N12" s="3" t="n"/>
      <c r="O12" s="3" t="n"/>
    </row>
    <row r="13">
      <c r="A13" s="3" t="n"/>
      <c r="B13" s="4" t="n"/>
      <c r="C13" s="3" t="n"/>
      <c r="D13" s="3" t="n"/>
      <c r="E13" s="3" t="n"/>
      <c r="F13" s="5" t="n"/>
      <c r="G13" s="6">
        <f>IF($A13="","",SUMIFS(Pagos!$D:$D,Pagos!$A:$A,$A13,Pagos!$F:$F,"Pagado"))</f>
        <v/>
      </c>
      <c r="H13" s="6">
        <f>IF($A13="","",$F13-$G13)</f>
        <v/>
      </c>
      <c r="I13" s="7">
        <f>IF($A13="","",IF($F13=0,0,$G13/$F13))</f>
        <v/>
      </c>
      <c r="J13" s="8">
        <f>IF($A13="","",IFERROR(MAXIFS(Pagos!$C:$C,Pagos!$A:$A,$A13,Pagos!$F:$F,"Pagado"),""))</f>
        <v/>
      </c>
      <c r="K13" s="8">
        <f>IF($A13="","",IFERROR(MINIFS(Pagos!$C:$C,Pagos!$A:$A,$A13,Pagos!$F:$F,"Programado"),""))</f>
        <v/>
      </c>
      <c r="L13" s="9">
        <f>IF($A13="","",IF($K13="","",$K13-TODAY()))</f>
        <v/>
      </c>
      <c r="M13" s="9">
        <f>IF($A13="","",IF($H13&lt;=0,"Liquidada",IF(AND($K13&lt;&gt;"",$K13&lt;TODAY()),"Vencida",IF($G13&gt;0,"Parcial","Pendiente"))))</f>
        <v/>
      </c>
      <c r="N13" s="3" t="n"/>
      <c r="O13" s="3" t="n"/>
    </row>
    <row r="14">
      <c r="A14" s="3" t="n"/>
      <c r="B14" s="4" t="n"/>
      <c r="C14" s="3" t="n"/>
      <c r="D14" s="3" t="n"/>
      <c r="E14" s="3" t="n"/>
      <c r="F14" s="5" t="n"/>
      <c r="G14" s="6">
        <f>IF($A14="","",SUMIFS(Pagos!$D:$D,Pagos!$A:$A,$A14,Pagos!$F:$F,"Pagado"))</f>
        <v/>
      </c>
      <c r="H14" s="6">
        <f>IF($A14="","",$F14-$G14)</f>
        <v/>
      </c>
      <c r="I14" s="7">
        <f>IF($A14="","",IF($F14=0,0,$G14/$F14))</f>
        <v/>
      </c>
      <c r="J14" s="8">
        <f>IF($A14="","",IFERROR(MAXIFS(Pagos!$C:$C,Pagos!$A:$A,$A14,Pagos!$F:$F,"Pagado"),""))</f>
        <v/>
      </c>
      <c r="K14" s="8">
        <f>IF($A14="","",IFERROR(MINIFS(Pagos!$C:$C,Pagos!$A:$A,$A14,Pagos!$F:$F,"Programado"),""))</f>
        <v/>
      </c>
      <c r="L14" s="9">
        <f>IF($A14="","",IF($K14="","",$K14-TODAY()))</f>
        <v/>
      </c>
      <c r="M14" s="9">
        <f>IF($A14="","",IF($H14&lt;=0,"Liquidada",IF(AND($K14&lt;&gt;"",$K14&lt;TODAY()),"Vencida",IF($G14&gt;0,"Parcial","Pendiente"))))</f>
        <v/>
      </c>
      <c r="N14" s="3" t="n"/>
      <c r="O14" s="3" t="n"/>
    </row>
    <row r="15">
      <c r="A15" s="3" t="n"/>
      <c r="B15" s="4" t="n"/>
      <c r="C15" s="3" t="n"/>
      <c r="D15" s="3" t="n"/>
      <c r="E15" s="3" t="n"/>
      <c r="F15" s="5" t="n"/>
      <c r="G15" s="6">
        <f>IF($A15="","",SUMIFS(Pagos!$D:$D,Pagos!$A:$A,$A15,Pagos!$F:$F,"Pagado"))</f>
        <v/>
      </c>
      <c r="H15" s="6">
        <f>IF($A15="","",$F15-$G15)</f>
        <v/>
      </c>
      <c r="I15" s="7">
        <f>IF($A15="","",IF($F15=0,0,$G15/$F15))</f>
        <v/>
      </c>
      <c r="J15" s="8">
        <f>IF($A15="","",IFERROR(MAXIFS(Pagos!$C:$C,Pagos!$A:$A,$A15,Pagos!$F:$F,"Pagado"),""))</f>
        <v/>
      </c>
      <c r="K15" s="8">
        <f>IF($A15="","",IFERROR(MINIFS(Pagos!$C:$C,Pagos!$A:$A,$A15,Pagos!$F:$F,"Programado"),""))</f>
        <v/>
      </c>
      <c r="L15" s="9">
        <f>IF($A15="","",IF($K15="","",$K15-TODAY()))</f>
        <v/>
      </c>
      <c r="M15" s="9">
        <f>IF($A15="","",IF($H15&lt;=0,"Liquidada",IF(AND($K15&lt;&gt;"",$K15&lt;TODAY()),"Vencida",IF($G15&gt;0,"Parcial","Pendiente"))))</f>
        <v/>
      </c>
      <c r="N15" s="3" t="n"/>
      <c r="O15" s="3" t="n"/>
    </row>
    <row r="16">
      <c r="A16" s="3" t="n"/>
      <c r="B16" s="4" t="n"/>
      <c r="C16" s="3" t="n"/>
      <c r="D16" s="3" t="n"/>
      <c r="E16" s="3" t="n"/>
      <c r="F16" s="5" t="n"/>
      <c r="G16" s="6">
        <f>IF($A16="","",SUMIFS(Pagos!$D:$D,Pagos!$A:$A,$A16,Pagos!$F:$F,"Pagado"))</f>
        <v/>
      </c>
      <c r="H16" s="6">
        <f>IF($A16="","",$F16-$G16)</f>
        <v/>
      </c>
      <c r="I16" s="7">
        <f>IF($A16="","",IF($F16=0,0,$G16/$F16))</f>
        <v/>
      </c>
      <c r="J16" s="8">
        <f>IF($A16="","",IFERROR(MAXIFS(Pagos!$C:$C,Pagos!$A:$A,$A16,Pagos!$F:$F,"Pagado"),""))</f>
        <v/>
      </c>
      <c r="K16" s="8">
        <f>IF($A16="","",IFERROR(MINIFS(Pagos!$C:$C,Pagos!$A:$A,$A16,Pagos!$F:$F,"Programado"),""))</f>
        <v/>
      </c>
      <c r="L16" s="9">
        <f>IF($A16="","",IF($K16="","",$K16-TODAY()))</f>
        <v/>
      </c>
      <c r="M16" s="9">
        <f>IF($A16="","",IF($H16&lt;=0,"Liquidada",IF(AND($K16&lt;&gt;"",$K16&lt;TODAY()),"Vencida",IF($G16&gt;0,"Parcial","Pendiente"))))</f>
        <v/>
      </c>
      <c r="N16" s="3" t="n"/>
      <c r="O16" s="3" t="n"/>
    </row>
    <row r="17">
      <c r="A17" s="3" t="n"/>
      <c r="B17" s="4" t="n"/>
      <c r="C17" s="3" t="n"/>
      <c r="D17" s="3" t="n"/>
      <c r="E17" s="3" t="n"/>
      <c r="F17" s="5" t="n"/>
      <c r="G17" s="6">
        <f>IF($A17="","",SUMIFS(Pagos!$D:$D,Pagos!$A:$A,$A17,Pagos!$F:$F,"Pagado"))</f>
        <v/>
      </c>
      <c r="H17" s="6">
        <f>IF($A17="","",$F17-$G17)</f>
        <v/>
      </c>
      <c r="I17" s="7">
        <f>IF($A17="","",IF($F17=0,0,$G17/$F17))</f>
        <v/>
      </c>
      <c r="J17" s="8">
        <f>IF($A17="","",IFERROR(MAXIFS(Pagos!$C:$C,Pagos!$A:$A,$A17,Pagos!$F:$F,"Pagado"),""))</f>
        <v/>
      </c>
      <c r="K17" s="8">
        <f>IF($A17="","",IFERROR(MINIFS(Pagos!$C:$C,Pagos!$A:$A,$A17,Pagos!$F:$F,"Programado"),""))</f>
        <v/>
      </c>
      <c r="L17" s="9">
        <f>IF($A17="","",IF($K17="","",$K17-TODAY()))</f>
        <v/>
      </c>
      <c r="M17" s="9">
        <f>IF($A17="","",IF($H17&lt;=0,"Liquidada",IF(AND($K17&lt;&gt;"",$K17&lt;TODAY()),"Vencida",IF($G17&gt;0,"Parcial","Pendiente"))))</f>
        <v/>
      </c>
      <c r="N17" s="3" t="n"/>
      <c r="O17" s="3" t="n"/>
    </row>
    <row r="18">
      <c r="A18" s="3" t="n"/>
      <c r="B18" s="4" t="n"/>
      <c r="C18" s="3" t="n"/>
      <c r="D18" s="3" t="n"/>
      <c r="E18" s="3" t="n"/>
      <c r="F18" s="5" t="n"/>
      <c r="G18" s="6">
        <f>IF($A18="","",SUMIFS(Pagos!$D:$D,Pagos!$A:$A,$A18,Pagos!$F:$F,"Pagado"))</f>
        <v/>
      </c>
      <c r="H18" s="6">
        <f>IF($A18="","",$F18-$G18)</f>
        <v/>
      </c>
      <c r="I18" s="7">
        <f>IF($A18="","",IF($F18=0,0,$G18/$F18))</f>
        <v/>
      </c>
      <c r="J18" s="8">
        <f>IF($A18="","",IFERROR(MAXIFS(Pagos!$C:$C,Pagos!$A:$A,$A18,Pagos!$F:$F,"Pagado"),""))</f>
        <v/>
      </c>
      <c r="K18" s="8">
        <f>IF($A18="","",IFERROR(MINIFS(Pagos!$C:$C,Pagos!$A:$A,$A18,Pagos!$F:$F,"Programado"),""))</f>
        <v/>
      </c>
      <c r="L18" s="9">
        <f>IF($A18="","",IF($K18="","",$K18-TODAY()))</f>
        <v/>
      </c>
      <c r="M18" s="9">
        <f>IF($A18="","",IF($H18&lt;=0,"Liquidada",IF(AND($K18&lt;&gt;"",$K18&lt;TODAY()),"Vencida",IF($G18&gt;0,"Parcial","Pendiente"))))</f>
        <v/>
      </c>
      <c r="N18" s="3" t="n"/>
      <c r="O18" s="3" t="n"/>
    </row>
    <row r="19">
      <c r="A19" s="3" t="n"/>
      <c r="B19" s="4" t="n"/>
      <c r="C19" s="3" t="n"/>
      <c r="D19" s="3" t="n"/>
      <c r="E19" s="3" t="n"/>
      <c r="F19" s="5" t="n"/>
      <c r="G19" s="6">
        <f>IF($A19="","",SUMIFS(Pagos!$D:$D,Pagos!$A:$A,$A19,Pagos!$F:$F,"Pagado"))</f>
        <v/>
      </c>
      <c r="H19" s="6">
        <f>IF($A19="","",$F19-$G19)</f>
        <v/>
      </c>
      <c r="I19" s="7">
        <f>IF($A19="","",IF($F19=0,0,$G19/$F19))</f>
        <v/>
      </c>
      <c r="J19" s="8">
        <f>IF($A19="","",IFERROR(MAXIFS(Pagos!$C:$C,Pagos!$A:$A,$A19,Pagos!$F:$F,"Pagado"),""))</f>
        <v/>
      </c>
      <c r="K19" s="8">
        <f>IF($A19="","",IFERROR(MINIFS(Pagos!$C:$C,Pagos!$A:$A,$A19,Pagos!$F:$F,"Programado"),""))</f>
        <v/>
      </c>
      <c r="L19" s="9">
        <f>IF($A19="","",IF($K19="","",$K19-TODAY()))</f>
        <v/>
      </c>
      <c r="M19" s="9">
        <f>IF($A19="","",IF($H19&lt;=0,"Liquidada",IF(AND($K19&lt;&gt;"",$K19&lt;TODAY()),"Vencida",IF($G19&gt;0,"Parcial","Pendiente"))))</f>
        <v/>
      </c>
      <c r="N19" s="3" t="n"/>
      <c r="O19" s="3" t="n"/>
    </row>
    <row r="20">
      <c r="A20" s="3" t="n"/>
      <c r="B20" s="4" t="n"/>
      <c r="C20" s="3" t="n"/>
      <c r="D20" s="3" t="n"/>
      <c r="E20" s="3" t="n"/>
      <c r="F20" s="5" t="n"/>
      <c r="G20" s="6">
        <f>IF($A20="","",SUMIFS(Pagos!$D:$D,Pagos!$A:$A,$A20,Pagos!$F:$F,"Pagado"))</f>
        <v/>
      </c>
      <c r="H20" s="6">
        <f>IF($A20="","",$F20-$G20)</f>
        <v/>
      </c>
      <c r="I20" s="7">
        <f>IF($A20="","",IF($F20=0,0,$G20/$F20))</f>
        <v/>
      </c>
      <c r="J20" s="8">
        <f>IF($A20="","",IFERROR(MAXIFS(Pagos!$C:$C,Pagos!$A:$A,$A20,Pagos!$F:$F,"Pagado"),""))</f>
        <v/>
      </c>
      <c r="K20" s="8">
        <f>IF($A20="","",IFERROR(MINIFS(Pagos!$C:$C,Pagos!$A:$A,$A20,Pagos!$F:$F,"Programado"),""))</f>
        <v/>
      </c>
      <c r="L20" s="9">
        <f>IF($A20="","",IF($K20="","",$K20-TODAY()))</f>
        <v/>
      </c>
      <c r="M20" s="9">
        <f>IF($A20="","",IF($H20&lt;=0,"Liquidada",IF(AND($K20&lt;&gt;"",$K20&lt;TODAY()),"Vencida",IF($G20&gt;0,"Parcial","Pendiente"))))</f>
        <v/>
      </c>
      <c r="N20" s="3" t="n"/>
      <c r="O20" s="3" t="n"/>
    </row>
    <row r="21">
      <c r="A21" s="3" t="n"/>
      <c r="B21" s="4" t="n"/>
      <c r="C21" s="3" t="n"/>
      <c r="D21" s="3" t="n"/>
      <c r="E21" s="3" t="n"/>
      <c r="F21" s="5" t="n"/>
      <c r="G21" s="6">
        <f>IF($A21="","",SUMIFS(Pagos!$D:$D,Pagos!$A:$A,$A21,Pagos!$F:$F,"Pagado"))</f>
        <v/>
      </c>
      <c r="H21" s="6">
        <f>IF($A21="","",$F21-$G21)</f>
        <v/>
      </c>
      <c r="I21" s="7">
        <f>IF($A21="","",IF($F21=0,0,$G21/$F21))</f>
        <v/>
      </c>
      <c r="J21" s="8">
        <f>IF($A21="","",IFERROR(MAXIFS(Pagos!$C:$C,Pagos!$A:$A,$A21,Pagos!$F:$F,"Pagado"),""))</f>
        <v/>
      </c>
      <c r="K21" s="8">
        <f>IF($A21="","",IFERROR(MINIFS(Pagos!$C:$C,Pagos!$A:$A,$A21,Pagos!$F:$F,"Programado"),""))</f>
        <v/>
      </c>
      <c r="L21" s="9">
        <f>IF($A21="","",IF($K21="","",$K21-TODAY()))</f>
        <v/>
      </c>
      <c r="M21" s="9">
        <f>IF($A21="","",IF($H21&lt;=0,"Liquidada",IF(AND($K21&lt;&gt;"",$K21&lt;TODAY()),"Vencida",IF($G21&gt;0,"Parcial","Pendiente"))))</f>
        <v/>
      </c>
      <c r="N21" s="3" t="n"/>
      <c r="O21" s="3" t="n"/>
    </row>
    <row r="22">
      <c r="A22" s="3" t="n"/>
      <c r="B22" s="4" t="n"/>
      <c r="C22" s="3" t="n"/>
      <c r="D22" s="3" t="n"/>
      <c r="E22" s="3" t="n"/>
      <c r="F22" s="5" t="n"/>
      <c r="G22" s="6">
        <f>IF($A22="","",SUMIFS(Pagos!$D:$D,Pagos!$A:$A,$A22,Pagos!$F:$F,"Pagado"))</f>
        <v/>
      </c>
      <c r="H22" s="6">
        <f>IF($A22="","",$F22-$G22)</f>
        <v/>
      </c>
      <c r="I22" s="7">
        <f>IF($A22="","",IF($F22=0,0,$G22/$F22))</f>
        <v/>
      </c>
      <c r="J22" s="8">
        <f>IF($A22="","",IFERROR(MAXIFS(Pagos!$C:$C,Pagos!$A:$A,$A22,Pagos!$F:$F,"Pagado"),""))</f>
        <v/>
      </c>
      <c r="K22" s="8">
        <f>IF($A22="","",IFERROR(MINIFS(Pagos!$C:$C,Pagos!$A:$A,$A22,Pagos!$F:$F,"Programado"),""))</f>
        <v/>
      </c>
      <c r="L22" s="9">
        <f>IF($A22="","",IF($K22="","",$K22-TODAY()))</f>
        <v/>
      </c>
      <c r="M22" s="9">
        <f>IF($A22="","",IF($H22&lt;=0,"Liquidada",IF(AND($K22&lt;&gt;"",$K22&lt;TODAY()),"Vencida",IF($G22&gt;0,"Parcial","Pendiente"))))</f>
        <v/>
      </c>
      <c r="N22" s="3" t="n"/>
      <c r="O22" s="3" t="n"/>
    </row>
    <row r="23">
      <c r="A23" s="3" t="n"/>
      <c r="B23" s="4" t="n"/>
      <c r="C23" s="3" t="n"/>
      <c r="D23" s="3" t="n"/>
      <c r="E23" s="3" t="n"/>
      <c r="F23" s="5" t="n"/>
      <c r="G23" s="6">
        <f>IF($A23="","",SUMIFS(Pagos!$D:$D,Pagos!$A:$A,$A23,Pagos!$F:$F,"Pagado"))</f>
        <v/>
      </c>
      <c r="H23" s="6">
        <f>IF($A23="","",$F23-$G23)</f>
        <v/>
      </c>
      <c r="I23" s="7">
        <f>IF($A23="","",IF($F23=0,0,$G23/$F23))</f>
        <v/>
      </c>
      <c r="J23" s="8">
        <f>IF($A23="","",IFERROR(MAXIFS(Pagos!$C:$C,Pagos!$A:$A,$A23,Pagos!$F:$F,"Pagado"),""))</f>
        <v/>
      </c>
      <c r="K23" s="8">
        <f>IF($A23="","",IFERROR(MINIFS(Pagos!$C:$C,Pagos!$A:$A,$A23,Pagos!$F:$F,"Programado"),""))</f>
        <v/>
      </c>
      <c r="L23" s="9">
        <f>IF($A23="","",IF($K23="","",$K23-TODAY()))</f>
        <v/>
      </c>
      <c r="M23" s="9">
        <f>IF($A23="","",IF($H23&lt;=0,"Liquidada",IF(AND($K23&lt;&gt;"",$K23&lt;TODAY()),"Vencida",IF($G23&gt;0,"Parcial","Pendiente"))))</f>
        <v/>
      </c>
      <c r="N23" s="3" t="n"/>
      <c r="O23" s="3" t="n"/>
    </row>
    <row r="24">
      <c r="A24" s="3" t="n"/>
      <c r="B24" s="4" t="n"/>
      <c r="C24" s="3" t="n"/>
      <c r="D24" s="3" t="n"/>
      <c r="E24" s="3" t="n"/>
      <c r="F24" s="5" t="n"/>
      <c r="G24" s="6">
        <f>IF($A24="","",SUMIFS(Pagos!$D:$D,Pagos!$A:$A,$A24,Pagos!$F:$F,"Pagado"))</f>
        <v/>
      </c>
      <c r="H24" s="6">
        <f>IF($A24="","",$F24-$G24)</f>
        <v/>
      </c>
      <c r="I24" s="7">
        <f>IF($A24="","",IF($F24=0,0,$G24/$F24))</f>
        <v/>
      </c>
      <c r="J24" s="8">
        <f>IF($A24="","",IFERROR(MAXIFS(Pagos!$C:$C,Pagos!$A:$A,$A24,Pagos!$F:$F,"Pagado"),""))</f>
        <v/>
      </c>
      <c r="K24" s="8">
        <f>IF($A24="","",IFERROR(MINIFS(Pagos!$C:$C,Pagos!$A:$A,$A24,Pagos!$F:$F,"Programado"),""))</f>
        <v/>
      </c>
      <c r="L24" s="9">
        <f>IF($A24="","",IF($K24="","",$K24-TODAY()))</f>
        <v/>
      </c>
      <c r="M24" s="9">
        <f>IF($A24="","",IF($H24&lt;=0,"Liquidada",IF(AND($K24&lt;&gt;"",$K24&lt;TODAY()),"Vencida",IF($G24&gt;0,"Parcial","Pendiente"))))</f>
        <v/>
      </c>
      <c r="N24" s="3" t="n"/>
      <c r="O24" s="3" t="n"/>
    </row>
    <row r="25">
      <c r="A25" s="3" t="n"/>
      <c r="B25" s="4" t="n"/>
      <c r="C25" s="3" t="n"/>
      <c r="D25" s="3" t="n"/>
      <c r="E25" s="3" t="n"/>
      <c r="F25" s="5" t="n"/>
      <c r="G25" s="6">
        <f>IF($A25="","",SUMIFS(Pagos!$D:$D,Pagos!$A:$A,$A25,Pagos!$F:$F,"Pagado"))</f>
        <v/>
      </c>
      <c r="H25" s="6">
        <f>IF($A25="","",$F25-$G25)</f>
        <v/>
      </c>
      <c r="I25" s="7">
        <f>IF($A25="","",IF($F25=0,0,$G25/$F25))</f>
        <v/>
      </c>
      <c r="J25" s="8">
        <f>IF($A25="","",IFERROR(MAXIFS(Pagos!$C:$C,Pagos!$A:$A,$A25,Pagos!$F:$F,"Pagado"),""))</f>
        <v/>
      </c>
      <c r="K25" s="8">
        <f>IF($A25="","",IFERROR(MINIFS(Pagos!$C:$C,Pagos!$A:$A,$A25,Pagos!$F:$F,"Programado"),""))</f>
        <v/>
      </c>
      <c r="L25" s="9">
        <f>IF($A25="","",IF($K25="","",$K25-TODAY()))</f>
        <v/>
      </c>
      <c r="M25" s="9">
        <f>IF($A25="","",IF($H25&lt;=0,"Liquidada",IF(AND($K25&lt;&gt;"",$K25&lt;TODAY()),"Vencida",IF($G25&gt;0,"Parcial","Pendiente"))))</f>
        <v/>
      </c>
      <c r="N25" s="3" t="n"/>
      <c r="O25" s="3" t="n"/>
    </row>
    <row r="26">
      <c r="A26" s="3" t="n"/>
      <c r="B26" s="4" t="n"/>
      <c r="C26" s="3" t="n"/>
      <c r="D26" s="3" t="n"/>
      <c r="E26" s="3" t="n"/>
      <c r="F26" s="5" t="n"/>
      <c r="G26" s="6">
        <f>IF($A26="","",SUMIFS(Pagos!$D:$D,Pagos!$A:$A,$A26,Pagos!$F:$F,"Pagado"))</f>
        <v/>
      </c>
      <c r="H26" s="6">
        <f>IF($A26="","",$F26-$G26)</f>
        <v/>
      </c>
      <c r="I26" s="7">
        <f>IF($A26="","",IF($F26=0,0,$G26/$F26))</f>
        <v/>
      </c>
      <c r="J26" s="8">
        <f>IF($A26="","",IFERROR(MAXIFS(Pagos!$C:$C,Pagos!$A:$A,$A26,Pagos!$F:$F,"Pagado"),""))</f>
        <v/>
      </c>
      <c r="K26" s="8">
        <f>IF($A26="","",IFERROR(MINIFS(Pagos!$C:$C,Pagos!$A:$A,$A26,Pagos!$F:$F,"Programado"),""))</f>
        <v/>
      </c>
      <c r="L26" s="9">
        <f>IF($A26="","",IF($K26="","",$K26-TODAY()))</f>
        <v/>
      </c>
      <c r="M26" s="9">
        <f>IF($A26="","",IF($H26&lt;=0,"Liquidada",IF(AND($K26&lt;&gt;"",$K26&lt;TODAY()),"Vencida",IF($G26&gt;0,"Parcial","Pendiente"))))</f>
        <v/>
      </c>
      <c r="N26" s="3" t="n"/>
      <c r="O26" s="3" t="n"/>
    </row>
    <row r="27">
      <c r="A27" s="3" t="n"/>
      <c r="B27" s="4" t="n"/>
      <c r="C27" s="3" t="n"/>
      <c r="D27" s="3" t="n"/>
      <c r="E27" s="3" t="n"/>
      <c r="F27" s="5" t="n"/>
      <c r="G27" s="6">
        <f>IF($A27="","",SUMIFS(Pagos!$D:$D,Pagos!$A:$A,$A27,Pagos!$F:$F,"Pagado"))</f>
        <v/>
      </c>
      <c r="H27" s="6">
        <f>IF($A27="","",$F27-$G27)</f>
        <v/>
      </c>
      <c r="I27" s="7">
        <f>IF($A27="","",IF($F27=0,0,$G27/$F27))</f>
        <v/>
      </c>
      <c r="J27" s="8">
        <f>IF($A27="","",IFERROR(MAXIFS(Pagos!$C:$C,Pagos!$A:$A,$A27,Pagos!$F:$F,"Pagado"),""))</f>
        <v/>
      </c>
      <c r="K27" s="8">
        <f>IF($A27="","",IFERROR(MINIFS(Pagos!$C:$C,Pagos!$A:$A,$A27,Pagos!$F:$F,"Programado"),""))</f>
        <v/>
      </c>
      <c r="L27" s="9">
        <f>IF($A27="","",IF($K27="","",$K27-TODAY()))</f>
        <v/>
      </c>
      <c r="M27" s="9">
        <f>IF($A27="","",IF($H27&lt;=0,"Liquidada",IF(AND($K27&lt;&gt;"",$K27&lt;TODAY()),"Vencida",IF($G27&gt;0,"Parcial","Pendiente"))))</f>
        <v/>
      </c>
      <c r="N27" s="3" t="n"/>
      <c r="O27" s="3" t="n"/>
    </row>
    <row r="28">
      <c r="A28" s="3" t="n"/>
      <c r="B28" s="4" t="n"/>
      <c r="C28" s="3" t="n"/>
      <c r="D28" s="3" t="n"/>
      <c r="E28" s="3" t="n"/>
      <c r="F28" s="5" t="n"/>
      <c r="G28" s="6">
        <f>IF($A28="","",SUMIFS(Pagos!$D:$D,Pagos!$A:$A,$A28,Pagos!$F:$F,"Pagado"))</f>
        <v/>
      </c>
      <c r="H28" s="6">
        <f>IF($A28="","",$F28-$G28)</f>
        <v/>
      </c>
      <c r="I28" s="7">
        <f>IF($A28="","",IF($F28=0,0,$G28/$F28))</f>
        <v/>
      </c>
      <c r="J28" s="8">
        <f>IF($A28="","",IFERROR(MAXIFS(Pagos!$C:$C,Pagos!$A:$A,$A28,Pagos!$F:$F,"Pagado"),""))</f>
        <v/>
      </c>
      <c r="K28" s="8">
        <f>IF($A28="","",IFERROR(MINIFS(Pagos!$C:$C,Pagos!$A:$A,$A28,Pagos!$F:$F,"Programado"),""))</f>
        <v/>
      </c>
      <c r="L28" s="9">
        <f>IF($A28="","",IF($K28="","",$K28-TODAY()))</f>
        <v/>
      </c>
      <c r="M28" s="9">
        <f>IF($A28="","",IF($H28&lt;=0,"Liquidada",IF(AND($K28&lt;&gt;"",$K28&lt;TODAY()),"Vencida",IF($G28&gt;0,"Parcial","Pendiente"))))</f>
        <v/>
      </c>
      <c r="N28" s="3" t="n"/>
      <c r="O28" s="3" t="n"/>
    </row>
    <row r="29">
      <c r="A29" s="3" t="n"/>
      <c r="B29" s="4" t="n"/>
      <c r="C29" s="3" t="n"/>
      <c r="D29" s="3" t="n"/>
      <c r="E29" s="3" t="n"/>
      <c r="F29" s="5" t="n"/>
      <c r="G29" s="6">
        <f>IF($A29="","",SUMIFS(Pagos!$D:$D,Pagos!$A:$A,$A29,Pagos!$F:$F,"Pagado"))</f>
        <v/>
      </c>
      <c r="H29" s="6">
        <f>IF($A29="","",$F29-$G29)</f>
        <v/>
      </c>
      <c r="I29" s="7">
        <f>IF($A29="","",IF($F29=0,0,$G29/$F29))</f>
        <v/>
      </c>
      <c r="J29" s="8">
        <f>IF($A29="","",IFERROR(MAXIFS(Pagos!$C:$C,Pagos!$A:$A,$A29,Pagos!$F:$F,"Pagado"),""))</f>
        <v/>
      </c>
      <c r="K29" s="8">
        <f>IF($A29="","",IFERROR(MINIFS(Pagos!$C:$C,Pagos!$A:$A,$A29,Pagos!$F:$F,"Programado"),""))</f>
        <v/>
      </c>
      <c r="L29" s="9">
        <f>IF($A29="","",IF($K29="","",$K29-TODAY()))</f>
        <v/>
      </c>
      <c r="M29" s="9">
        <f>IF($A29="","",IF($H29&lt;=0,"Liquidada",IF(AND($K29&lt;&gt;"",$K29&lt;TODAY()),"Vencida",IF($G29&gt;0,"Parcial","Pendiente"))))</f>
        <v/>
      </c>
      <c r="N29" s="3" t="n"/>
      <c r="O29" s="3" t="n"/>
    </row>
    <row r="30">
      <c r="A30" s="3" t="n"/>
      <c r="B30" s="4" t="n"/>
      <c r="C30" s="3" t="n"/>
      <c r="D30" s="3" t="n"/>
      <c r="E30" s="3" t="n"/>
      <c r="F30" s="5" t="n"/>
      <c r="G30" s="6">
        <f>IF($A30="","",SUMIFS(Pagos!$D:$D,Pagos!$A:$A,$A30,Pagos!$F:$F,"Pagado"))</f>
        <v/>
      </c>
      <c r="H30" s="6">
        <f>IF($A30="","",$F30-$G30)</f>
        <v/>
      </c>
      <c r="I30" s="7">
        <f>IF($A30="","",IF($F30=0,0,$G30/$F30))</f>
        <v/>
      </c>
      <c r="J30" s="8">
        <f>IF($A30="","",IFERROR(MAXIFS(Pagos!$C:$C,Pagos!$A:$A,$A30,Pagos!$F:$F,"Pagado"),""))</f>
        <v/>
      </c>
      <c r="K30" s="8">
        <f>IF($A30="","",IFERROR(MINIFS(Pagos!$C:$C,Pagos!$A:$A,$A30,Pagos!$F:$F,"Programado"),""))</f>
        <v/>
      </c>
      <c r="L30" s="9">
        <f>IF($A30="","",IF($K30="","",$K30-TODAY()))</f>
        <v/>
      </c>
      <c r="M30" s="9">
        <f>IF($A30="","",IF($H30&lt;=0,"Liquidada",IF(AND($K30&lt;&gt;"",$K30&lt;TODAY()),"Vencida",IF($G30&gt;0,"Parcial","Pendiente"))))</f>
        <v/>
      </c>
      <c r="N30" s="3" t="n"/>
      <c r="O30" s="3" t="n"/>
    </row>
    <row r="31">
      <c r="A31" s="3" t="n"/>
      <c r="B31" s="4" t="n"/>
      <c r="C31" s="3" t="n"/>
      <c r="D31" s="3" t="n"/>
      <c r="E31" s="3" t="n"/>
      <c r="F31" s="5" t="n"/>
      <c r="G31" s="6">
        <f>IF($A31="","",SUMIFS(Pagos!$D:$D,Pagos!$A:$A,$A31,Pagos!$F:$F,"Pagado"))</f>
        <v/>
      </c>
      <c r="H31" s="6">
        <f>IF($A31="","",$F31-$G31)</f>
        <v/>
      </c>
      <c r="I31" s="7">
        <f>IF($A31="","",IF($F31=0,0,$G31/$F31))</f>
        <v/>
      </c>
      <c r="J31" s="8">
        <f>IF($A31="","",IFERROR(MAXIFS(Pagos!$C:$C,Pagos!$A:$A,$A31,Pagos!$F:$F,"Pagado"),""))</f>
        <v/>
      </c>
      <c r="K31" s="8">
        <f>IF($A31="","",IFERROR(MINIFS(Pagos!$C:$C,Pagos!$A:$A,$A31,Pagos!$F:$F,"Programado"),""))</f>
        <v/>
      </c>
      <c r="L31" s="9">
        <f>IF($A31="","",IF($K31="","",$K31-TODAY()))</f>
        <v/>
      </c>
      <c r="M31" s="9">
        <f>IF($A31="","",IF($H31&lt;=0,"Liquidada",IF(AND($K31&lt;&gt;"",$K31&lt;TODAY()),"Vencida",IF($G31&gt;0,"Parcial","Pendiente"))))</f>
        <v/>
      </c>
      <c r="N31" s="3" t="n"/>
      <c r="O31" s="3" t="n"/>
    </row>
    <row r="32">
      <c r="A32" s="3" t="n"/>
      <c r="B32" s="4" t="n"/>
      <c r="C32" s="3" t="n"/>
      <c r="D32" s="3" t="n"/>
      <c r="E32" s="3" t="n"/>
      <c r="F32" s="5" t="n"/>
      <c r="G32" s="6">
        <f>IF($A32="","",SUMIFS(Pagos!$D:$D,Pagos!$A:$A,$A32,Pagos!$F:$F,"Pagado"))</f>
        <v/>
      </c>
      <c r="H32" s="6">
        <f>IF($A32="","",$F32-$G32)</f>
        <v/>
      </c>
      <c r="I32" s="7">
        <f>IF($A32="","",IF($F32=0,0,$G32/$F32))</f>
        <v/>
      </c>
      <c r="J32" s="8">
        <f>IF($A32="","",IFERROR(MAXIFS(Pagos!$C:$C,Pagos!$A:$A,$A32,Pagos!$F:$F,"Pagado"),""))</f>
        <v/>
      </c>
      <c r="K32" s="8">
        <f>IF($A32="","",IFERROR(MINIFS(Pagos!$C:$C,Pagos!$A:$A,$A32,Pagos!$F:$F,"Programado"),""))</f>
        <v/>
      </c>
      <c r="L32" s="9">
        <f>IF($A32="","",IF($K32="","",$K32-TODAY()))</f>
        <v/>
      </c>
      <c r="M32" s="9">
        <f>IF($A32="","",IF($H32&lt;=0,"Liquidada",IF(AND($K32&lt;&gt;"",$K32&lt;TODAY()),"Vencida",IF($G32&gt;0,"Parcial","Pendiente"))))</f>
        <v/>
      </c>
      <c r="N32" s="3" t="n"/>
      <c r="O32" s="3" t="n"/>
    </row>
    <row r="33">
      <c r="A33" s="3" t="n"/>
      <c r="B33" s="4" t="n"/>
      <c r="C33" s="3" t="n"/>
      <c r="D33" s="3" t="n"/>
      <c r="E33" s="3" t="n"/>
      <c r="F33" s="5" t="n"/>
      <c r="G33" s="6">
        <f>IF($A33="","",SUMIFS(Pagos!$D:$D,Pagos!$A:$A,$A33,Pagos!$F:$F,"Pagado"))</f>
        <v/>
      </c>
      <c r="H33" s="6">
        <f>IF($A33="","",$F33-$G33)</f>
        <v/>
      </c>
      <c r="I33" s="7">
        <f>IF($A33="","",IF($F33=0,0,$G33/$F33))</f>
        <v/>
      </c>
      <c r="J33" s="8">
        <f>IF($A33="","",IFERROR(MAXIFS(Pagos!$C:$C,Pagos!$A:$A,$A33,Pagos!$F:$F,"Pagado"),""))</f>
        <v/>
      </c>
      <c r="K33" s="8">
        <f>IF($A33="","",IFERROR(MINIFS(Pagos!$C:$C,Pagos!$A:$A,$A33,Pagos!$F:$F,"Programado"),""))</f>
        <v/>
      </c>
      <c r="L33" s="9">
        <f>IF($A33="","",IF($K33="","",$K33-TODAY()))</f>
        <v/>
      </c>
      <c r="M33" s="9">
        <f>IF($A33="","",IF($H33&lt;=0,"Liquidada",IF(AND($K33&lt;&gt;"",$K33&lt;TODAY()),"Vencida",IF($G33&gt;0,"Parcial","Pendiente"))))</f>
        <v/>
      </c>
      <c r="N33" s="3" t="n"/>
      <c r="O33" s="3" t="n"/>
    </row>
    <row r="34">
      <c r="A34" s="3" t="n"/>
      <c r="B34" s="4" t="n"/>
      <c r="C34" s="3" t="n"/>
      <c r="D34" s="3" t="n"/>
      <c r="E34" s="3" t="n"/>
      <c r="F34" s="5" t="n"/>
      <c r="G34" s="6">
        <f>IF($A34="","",SUMIFS(Pagos!$D:$D,Pagos!$A:$A,$A34,Pagos!$F:$F,"Pagado"))</f>
        <v/>
      </c>
      <c r="H34" s="6">
        <f>IF($A34="","",$F34-$G34)</f>
        <v/>
      </c>
      <c r="I34" s="7">
        <f>IF($A34="","",IF($F34=0,0,$G34/$F34))</f>
        <v/>
      </c>
      <c r="J34" s="8">
        <f>IF($A34="","",IFERROR(MAXIFS(Pagos!$C:$C,Pagos!$A:$A,$A34,Pagos!$F:$F,"Pagado"),""))</f>
        <v/>
      </c>
      <c r="K34" s="8">
        <f>IF($A34="","",IFERROR(MINIFS(Pagos!$C:$C,Pagos!$A:$A,$A34,Pagos!$F:$F,"Programado"),""))</f>
        <v/>
      </c>
      <c r="L34" s="9">
        <f>IF($A34="","",IF($K34="","",$K34-TODAY()))</f>
        <v/>
      </c>
      <c r="M34" s="9">
        <f>IF($A34="","",IF($H34&lt;=0,"Liquidada",IF(AND($K34&lt;&gt;"",$K34&lt;TODAY()),"Vencida",IF($G34&gt;0,"Parcial","Pendiente"))))</f>
        <v/>
      </c>
      <c r="N34" s="3" t="n"/>
      <c r="O34" s="3" t="n"/>
    </row>
    <row r="35">
      <c r="A35" s="3" t="n"/>
      <c r="B35" s="4" t="n"/>
      <c r="C35" s="3" t="n"/>
      <c r="D35" s="3" t="n"/>
      <c r="E35" s="3" t="n"/>
      <c r="F35" s="5" t="n"/>
      <c r="G35" s="6">
        <f>IF($A35="","",SUMIFS(Pagos!$D:$D,Pagos!$A:$A,$A35,Pagos!$F:$F,"Pagado"))</f>
        <v/>
      </c>
      <c r="H35" s="6">
        <f>IF($A35="","",$F35-$G35)</f>
        <v/>
      </c>
      <c r="I35" s="7">
        <f>IF($A35="","",IF($F35=0,0,$G35/$F35))</f>
        <v/>
      </c>
      <c r="J35" s="8">
        <f>IF($A35="","",IFERROR(MAXIFS(Pagos!$C:$C,Pagos!$A:$A,$A35,Pagos!$F:$F,"Pagado"),""))</f>
        <v/>
      </c>
      <c r="K35" s="8">
        <f>IF($A35="","",IFERROR(MINIFS(Pagos!$C:$C,Pagos!$A:$A,$A35,Pagos!$F:$F,"Programado"),""))</f>
        <v/>
      </c>
      <c r="L35" s="9">
        <f>IF($A35="","",IF($K35="","",$K35-TODAY()))</f>
        <v/>
      </c>
      <c r="M35" s="9">
        <f>IF($A35="","",IF($H35&lt;=0,"Liquidada",IF(AND($K35&lt;&gt;"",$K35&lt;TODAY()),"Vencida",IF($G35&gt;0,"Parcial","Pendiente"))))</f>
        <v/>
      </c>
      <c r="N35" s="3" t="n"/>
      <c r="O35" s="3" t="n"/>
    </row>
    <row r="36">
      <c r="A36" s="3" t="n"/>
      <c r="B36" s="4" t="n"/>
      <c r="C36" s="3" t="n"/>
      <c r="D36" s="3" t="n"/>
      <c r="E36" s="3" t="n"/>
      <c r="F36" s="5" t="n"/>
      <c r="G36" s="6">
        <f>IF($A36="","",SUMIFS(Pagos!$D:$D,Pagos!$A:$A,$A36,Pagos!$F:$F,"Pagado"))</f>
        <v/>
      </c>
      <c r="H36" s="6">
        <f>IF($A36="","",$F36-$G36)</f>
        <v/>
      </c>
      <c r="I36" s="7">
        <f>IF($A36="","",IF($F36=0,0,$G36/$F36))</f>
        <v/>
      </c>
      <c r="J36" s="8">
        <f>IF($A36="","",IFERROR(MAXIFS(Pagos!$C:$C,Pagos!$A:$A,$A36,Pagos!$F:$F,"Pagado"),""))</f>
        <v/>
      </c>
      <c r="K36" s="8">
        <f>IF($A36="","",IFERROR(MINIFS(Pagos!$C:$C,Pagos!$A:$A,$A36,Pagos!$F:$F,"Programado"),""))</f>
        <v/>
      </c>
      <c r="L36" s="9">
        <f>IF($A36="","",IF($K36="","",$K36-TODAY()))</f>
        <v/>
      </c>
      <c r="M36" s="9">
        <f>IF($A36="","",IF($H36&lt;=0,"Liquidada",IF(AND($K36&lt;&gt;"",$K36&lt;TODAY()),"Vencida",IF($G36&gt;0,"Parcial","Pendiente"))))</f>
        <v/>
      </c>
      <c r="N36" s="3" t="n"/>
      <c r="O36" s="3" t="n"/>
    </row>
    <row r="37">
      <c r="A37" s="3" t="n"/>
      <c r="B37" s="4" t="n"/>
      <c r="C37" s="3" t="n"/>
      <c r="D37" s="3" t="n"/>
      <c r="E37" s="3" t="n"/>
      <c r="F37" s="5" t="n"/>
      <c r="G37" s="6">
        <f>IF($A37="","",SUMIFS(Pagos!$D:$D,Pagos!$A:$A,$A37,Pagos!$F:$F,"Pagado"))</f>
        <v/>
      </c>
      <c r="H37" s="6">
        <f>IF($A37="","",$F37-$G37)</f>
        <v/>
      </c>
      <c r="I37" s="7">
        <f>IF($A37="","",IF($F37=0,0,$G37/$F37))</f>
        <v/>
      </c>
      <c r="J37" s="8">
        <f>IF($A37="","",IFERROR(MAXIFS(Pagos!$C:$C,Pagos!$A:$A,$A37,Pagos!$F:$F,"Pagado"),""))</f>
        <v/>
      </c>
      <c r="K37" s="8">
        <f>IF($A37="","",IFERROR(MINIFS(Pagos!$C:$C,Pagos!$A:$A,$A37,Pagos!$F:$F,"Programado"),""))</f>
        <v/>
      </c>
      <c r="L37" s="9">
        <f>IF($A37="","",IF($K37="","",$K37-TODAY()))</f>
        <v/>
      </c>
      <c r="M37" s="9">
        <f>IF($A37="","",IF($H37&lt;=0,"Liquidada",IF(AND($K37&lt;&gt;"",$K37&lt;TODAY()),"Vencida",IF($G37&gt;0,"Parcial","Pendiente"))))</f>
        <v/>
      </c>
      <c r="N37" s="3" t="n"/>
      <c r="O37" s="3" t="n"/>
    </row>
    <row r="38">
      <c r="A38" s="3" t="n"/>
      <c r="B38" s="4" t="n"/>
      <c r="C38" s="3" t="n"/>
      <c r="D38" s="3" t="n"/>
      <c r="E38" s="3" t="n"/>
      <c r="F38" s="5" t="n"/>
      <c r="G38" s="6">
        <f>IF($A38="","",SUMIFS(Pagos!$D:$D,Pagos!$A:$A,$A38,Pagos!$F:$F,"Pagado"))</f>
        <v/>
      </c>
      <c r="H38" s="6">
        <f>IF($A38="","",$F38-$G38)</f>
        <v/>
      </c>
      <c r="I38" s="7">
        <f>IF($A38="","",IF($F38=0,0,$G38/$F38))</f>
        <v/>
      </c>
      <c r="J38" s="8">
        <f>IF($A38="","",IFERROR(MAXIFS(Pagos!$C:$C,Pagos!$A:$A,$A38,Pagos!$F:$F,"Pagado"),""))</f>
        <v/>
      </c>
      <c r="K38" s="8">
        <f>IF($A38="","",IFERROR(MINIFS(Pagos!$C:$C,Pagos!$A:$A,$A38,Pagos!$F:$F,"Programado"),""))</f>
        <v/>
      </c>
      <c r="L38" s="9">
        <f>IF($A38="","",IF($K38="","",$K38-TODAY()))</f>
        <v/>
      </c>
      <c r="M38" s="9">
        <f>IF($A38="","",IF($H38&lt;=0,"Liquidada",IF(AND($K38&lt;&gt;"",$K38&lt;TODAY()),"Vencida",IF($G38&gt;0,"Parcial","Pendiente"))))</f>
        <v/>
      </c>
      <c r="N38" s="3" t="n"/>
      <c r="O38" s="3" t="n"/>
    </row>
    <row r="39">
      <c r="A39" s="3" t="n"/>
      <c r="B39" s="4" t="n"/>
      <c r="C39" s="3" t="n"/>
      <c r="D39" s="3" t="n"/>
      <c r="E39" s="3" t="n"/>
      <c r="F39" s="5" t="n"/>
      <c r="G39" s="6">
        <f>IF($A39="","",SUMIFS(Pagos!$D:$D,Pagos!$A:$A,$A39,Pagos!$F:$F,"Pagado"))</f>
        <v/>
      </c>
      <c r="H39" s="6">
        <f>IF($A39="","",$F39-$G39)</f>
        <v/>
      </c>
      <c r="I39" s="7">
        <f>IF($A39="","",IF($F39=0,0,$G39/$F39))</f>
        <v/>
      </c>
      <c r="J39" s="8">
        <f>IF($A39="","",IFERROR(MAXIFS(Pagos!$C:$C,Pagos!$A:$A,$A39,Pagos!$F:$F,"Pagado"),""))</f>
        <v/>
      </c>
      <c r="K39" s="8">
        <f>IF($A39="","",IFERROR(MINIFS(Pagos!$C:$C,Pagos!$A:$A,$A39,Pagos!$F:$F,"Programado"),""))</f>
        <v/>
      </c>
      <c r="L39" s="9">
        <f>IF($A39="","",IF($K39="","",$K39-TODAY()))</f>
        <v/>
      </c>
      <c r="M39" s="9">
        <f>IF($A39="","",IF($H39&lt;=0,"Liquidada",IF(AND($K39&lt;&gt;"",$K39&lt;TODAY()),"Vencida",IF($G39&gt;0,"Parcial","Pendiente"))))</f>
        <v/>
      </c>
      <c r="N39" s="3" t="n"/>
      <c r="O39" s="3" t="n"/>
    </row>
    <row r="40">
      <c r="A40" s="3" t="n"/>
      <c r="B40" s="4" t="n"/>
      <c r="C40" s="3" t="n"/>
      <c r="D40" s="3" t="n"/>
      <c r="E40" s="3" t="n"/>
      <c r="F40" s="5" t="n"/>
      <c r="G40" s="6">
        <f>IF($A40="","",SUMIFS(Pagos!$D:$D,Pagos!$A:$A,$A40,Pagos!$F:$F,"Pagado"))</f>
        <v/>
      </c>
      <c r="H40" s="6">
        <f>IF($A40="","",$F40-$G40)</f>
        <v/>
      </c>
      <c r="I40" s="7">
        <f>IF($A40="","",IF($F40=0,0,$G40/$F40))</f>
        <v/>
      </c>
      <c r="J40" s="8">
        <f>IF($A40="","",IFERROR(MAXIFS(Pagos!$C:$C,Pagos!$A:$A,$A40,Pagos!$F:$F,"Pagado"),""))</f>
        <v/>
      </c>
      <c r="K40" s="8">
        <f>IF($A40="","",IFERROR(MINIFS(Pagos!$C:$C,Pagos!$A:$A,$A40,Pagos!$F:$F,"Programado"),""))</f>
        <v/>
      </c>
      <c r="L40" s="9">
        <f>IF($A40="","",IF($K40="","",$K40-TODAY()))</f>
        <v/>
      </c>
      <c r="M40" s="9">
        <f>IF($A40="","",IF($H40&lt;=0,"Liquidada",IF(AND($K40&lt;&gt;"",$K40&lt;TODAY()),"Vencida",IF($G40&gt;0,"Parcial","Pendiente"))))</f>
        <v/>
      </c>
      <c r="N40" s="3" t="n"/>
      <c r="O40" s="3" t="n"/>
    </row>
    <row r="41">
      <c r="A41" s="3" t="n"/>
      <c r="B41" s="4" t="n"/>
      <c r="C41" s="3" t="n"/>
      <c r="D41" s="3" t="n"/>
      <c r="E41" s="3" t="n"/>
      <c r="F41" s="5" t="n"/>
      <c r="G41" s="6">
        <f>IF($A41="","",SUMIFS(Pagos!$D:$D,Pagos!$A:$A,$A41,Pagos!$F:$F,"Pagado"))</f>
        <v/>
      </c>
      <c r="H41" s="6">
        <f>IF($A41="","",$F41-$G41)</f>
        <v/>
      </c>
      <c r="I41" s="7">
        <f>IF($A41="","",IF($F41=0,0,$G41/$F41))</f>
        <v/>
      </c>
      <c r="J41" s="8">
        <f>IF($A41="","",IFERROR(MAXIFS(Pagos!$C:$C,Pagos!$A:$A,$A41,Pagos!$F:$F,"Pagado"),""))</f>
        <v/>
      </c>
      <c r="K41" s="8">
        <f>IF($A41="","",IFERROR(MINIFS(Pagos!$C:$C,Pagos!$A:$A,$A41,Pagos!$F:$F,"Programado"),""))</f>
        <v/>
      </c>
      <c r="L41" s="9">
        <f>IF($A41="","",IF($K41="","",$K41-TODAY()))</f>
        <v/>
      </c>
      <c r="M41" s="9">
        <f>IF($A41="","",IF($H41&lt;=0,"Liquidada",IF(AND($K41&lt;&gt;"",$K41&lt;TODAY()),"Vencida",IF($G41&gt;0,"Parcial","Pendiente"))))</f>
        <v/>
      </c>
      <c r="N41" s="3" t="n"/>
      <c r="O41" s="3" t="n"/>
    </row>
    <row r="42">
      <c r="A42" s="3" t="n"/>
      <c r="B42" s="4" t="n"/>
      <c r="C42" s="3" t="n"/>
      <c r="D42" s="3" t="n"/>
      <c r="E42" s="3" t="n"/>
      <c r="F42" s="5" t="n"/>
      <c r="G42" s="6">
        <f>IF($A42="","",SUMIFS(Pagos!$D:$D,Pagos!$A:$A,$A42,Pagos!$F:$F,"Pagado"))</f>
        <v/>
      </c>
      <c r="H42" s="6">
        <f>IF($A42="","",$F42-$G42)</f>
        <v/>
      </c>
      <c r="I42" s="7">
        <f>IF($A42="","",IF($F42=0,0,$G42/$F42))</f>
        <v/>
      </c>
      <c r="J42" s="8">
        <f>IF($A42="","",IFERROR(MAXIFS(Pagos!$C:$C,Pagos!$A:$A,$A42,Pagos!$F:$F,"Pagado"),""))</f>
        <v/>
      </c>
      <c r="K42" s="8">
        <f>IF($A42="","",IFERROR(MINIFS(Pagos!$C:$C,Pagos!$A:$A,$A42,Pagos!$F:$F,"Programado"),""))</f>
        <v/>
      </c>
      <c r="L42" s="9">
        <f>IF($A42="","",IF($K42="","",$K42-TODAY()))</f>
        <v/>
      </c>
      <c r="M42" s="9">
        <f>IF($A42="","",IF($H42&lt;=0,"Liquidada",IF(AND($K42&lt;&gt;"",$K42&lt;TODAY()),"Vencida",IF($G42&gt;0,"Parcial","Pendiente"))))</f>
        <v/>
      </c>
      <c r="N42" s="3" t="n"/>
      <c r="O42" s="3" t="n"/>
    </row>
    <row r="43">
      <c r="A43" s="3" t="n"/>
      <c r="B43" s="4" t="n"/>
      <c r="C43" s="3" t="n"/>
      <c r="D43" s="3" t="n"/>
      <c r="E43" s="3" t="n"/>
      <c r="F43" s="5" t="n"/>
      <c r="G43" s="6">
        <f>IF($A43="","",SUMIFS(Pagos!$D:$D,Pagos!$A:$A,$A43,Pagos!$F:$F,"Pagado"))</f>
        <v/>
      </c>
      <c r="H43" s="6">
        <f>IF($A43="","",$F43-$G43)</f>
        <v/>
      </c>
      <c r="I43" s="7">
        <f>IF($A43="","",IF($F43=0,0,$G43/$F43))</f>
        <v/>
      </c>
      <c r="J43" s="8">
        <f>IF($A43="","",IFERROR(MAXIFS(Pagos!$C:$C,Pagos!$A:$A,$A43,Pagos!$F:$F,"Pagado"),""))</f>
        <v/>
      </c>
      <c r="K43" s="8">
        <f>IF($A43="","",IFERROR(MINIFS(Pagos!$C:$C,Pagos!$A:$A,$A43,Pagos!$F:$F,"Programado"),""))</f>
        <v/>
      </c>
      <c r="L43" s="9">
        <f>IF($A43="","",IF($K43="","",$K43-TODAY()))</f>
        <v/>
      </c>
      <c r="M43" s="9">
        <f>IF($A43="","",IF($H43&lt;=0,"Liquidada",IF(AND($K43&lt;&gt;"",$K43&lt;TODAY()),"Vencida",IF($G43&gt;0,"Parcial","Pendiente"))))</f>
        <v/>
      </c>
      <c r="N43" s="3" t="n"/>
      <c r="O43" s="3" t="n"/>
    </row>
    <row r="44">
      <c r="A44" s="3" t="n"/>
      <c r="B44" s="4" t="n"/>
      <c r="C44" s="3" t="n"/>
      <c r="D44" s="3" t="n"/>
      <c r="E44" s="3" t="n"/>
      <c r="F44" s="5" t="n"/>
      <c r="G44" s="6">
        <f>IF($A44="","",SUMIFS(Pagos!$D:$D,Pagos!$A:$A,$A44,Pagos!$F:$F,"Pagado"))</f>
        <v/>
      </c>
      <c r="H44" s="6">
        <f>IF($A44="","",$F44-$G44)</f>
        <v/>
      </c>
      <c r="I44" s="7">
        <f>IF($A44="","",IF($F44=0,0,$G44/$F44))</f>
        <v/>
      </c>
      <c r="J44" s="8">
        <f>IF($A44="","",IFERROR(MAXIFS(Pagos!$C:$C,Pagos!$A:$A,$A44,Pagos!$F:$F,"Pagado"),""))</f>
        <v/>
      </c>
      <c r="K44" s="8">
        <f>IF($A44="","",IFERROR(MINIFS(Pagos!$C:$C,Pagos!$A:$A,$A44,Pagos!$F:$F,"Programado"),""))</f>
        <v/>
      </c>
      <c r="L44" s="9">
        <f>IF($A44="","",IF($K44="","",$K44-TODAY()))</f>
        <v/>
      </c>
      <c r="M44" s="9">
        <f>IF($A44="","",IF($H44&lt;=0,"Liquidada",IF(AND($K44&lt;&gt;"",$K44&lt;TODAY()),"Vencida",IF($G44&gt;0,"Parcial","Pendiente"))))</f>
        <v/>
      </c>
      <c r="N44" s="3" t="n"/>
      <c r="O44" s="3" t="n"/>
    </row>
    <row r="45">
      <c r="A45" s="3" t="n"/>
      <c r="B45" s="4" t="n"/>
      <c r="C45" s="3" t="n"/>
      <c r="D45" s="3" t="n"/>
      <c r="E45" s="3" t="n"/>
      <c r="F45" s="5" t="n"/>
      <c r="G45" s="6">
        <f>IF($A45="","",SUMIFS(Pagos!$D:$D,Pagos!$A:$A,$A45,Pagos!$F:$F,"Pagado"))</f>
        <v/>
      </c>
      <c r="H45" s="6">
        <f>IF($A45="","",$F45-$G45)</f>
        <v/>
      </c>
      <c r="I45" s="7">
        <f>IF($A45="","",IF($F45=0,0,$G45/$F45))</f>
        <v/>
      </c>
      <c r="J45" s="8">
        <f>IF($A45="","",IFERROR(MAXIFS(Pagos!$C:$C,Pagos!$A:$A,$A45,Pagos!$F:$F,"Pagado"),""))</f>
        <v/>
      </c>
      <c r="K45" s="8">
        <f>IF($A45="","",IFERROR(MINIFS(Pagos!$C:$C,Pagos!$A:$A,$A45,Pagos!$F:$F,"Programado"),""))</f>
        <v/>
      </c>
      <c r="L45" s="9">
        <f>IF($A45="","",IF($K45="","",$K45-TODAY()))</f>
        <v/>
      </c>
      <c r="M45" s="9">
        <f>IF($A45="","",IF($H45&lt;=0,"Liquidada",IF(AND($K45&lt;&gt;"",$K45&lt;TODAY()),"Vencida",IF($G45&gt;0,"Parcial","Pendiente"))))</f>
        <v/>
      </c>
      <c r="N45" s="3" t="n"/>
      <c r="O45" s="3" t="n"/>
    </row>
    <row r="46">
      <c r="A46" s="3" t="n"/>
      <c r="B46" s="4" t="n"/>
      <c r="C46" s="3" t="n"/>
      <c r="D46" s="3" t="n"/>
      <c r="E46" s="3" t="n"/>
      <c r="F46" s="5" t="n"/>
      <c r="G46" s="6">
        <f>IF($A46="","",SUMIFS(Pagos!$D:$D,Pagos!$A:$A,$A46,Pagos!$F:$F,"Pagado"))</f>
        <v/>
      </c>
      <c r="H46" s="6">
        <f>IF($A46="","",$F46-$G46)</f>
        <v/>
      </c>
      <c r="I46" s="7">
        <f>IF($A46="","",IF($F46=0,0,$G46/$F46))</f>
        <v/>
      </c>
      <c r="J46" s="8">
        <f>IF($A46="","",IFERROR(MAXIFS(Pagos!$C:$C,Pagos!$A:$A,$A46,Pagos!$F:$F,"Pagado"),""))</f>
        <v/>
      </c>
      <c r="K46" s="8">
        <f>IF($A46="","",IFERROR(MINIFS(Pagos!$C:$C,Pagos!$A:$A,$A46,Pagos!$F:$F,"Programado"),""))</f>
        <v/>
      </c>
      <c r="L46" s="9">
        <f>IF($A46="","",IF($K46="","",$K46-TODAY()))</f>
        <v/>
      </c>
      <c r="M46" s="9">
        <f>IF($A46="","",IF($H46&lt;=0,"Liquidada",IF(AND($K46&lt;&gt;"",$K46&lt;TODAY()),"Vencida",IF($G46&gt;0,"Parcial","Pendiente"))))</f>
        <v/>
      </c>
      <c r="N46" s="3" t="n"/>
      <c r="O46" s="3" t="n"/>
    </row>
    <row r="47">
      <c r="A47" s="3" t="n"/>
      <c r="B47" s="4" t="n"/>
      <c r="C47" s="3" t="n"/>
      <c r="D47" s="3" t="n"/>
      <c r="E47" s="3" t="n"/>
      <c r="F47" s="5" t="n"/>
      <c r="G47" s="6">
        <f>IF($A47="","",SUMIFS(Pagos!$D:$D,Pagos!$A:$A,$A47,Pagos!$F:$F,"Pagado"))</f>
        <v/>
      </c>
      <c r="H47" s="6">
        <f>IF($A47="","",$F47-$G47)</f>
        <v/>
      </c>
      <c r="I47" s="7">
        <f>IF($A47="","",IF($F47=0,0,$G47/$F47))</f>
        <v/>
      </c>
      <c r="J47" s="8">
        <f>IF($A47="","",IFERROR(MAXIFS(Pagos!$C:$C,Pagos!$A:$A,$A47,Pagos!$F:$F,"Pagado"),""))</f>
        <v/>
      </c>
      <c r="K47" s="8">
        <f>IF($A47="","",IFERROR(MINIFS(Pagos!$C:$C,Pagos!$A:$A,$A47,Pagos!$F:$F,"Programado"),""))</f>
        <v/>
      </c>
      <c r="L47" s="9">
        <f>IF($A47="","",IF($K47="","",$K47-TODAY()))</f>
        <v/>
      </c>
      <c r="M47" s="9">
        <f>IF($A47="","",IF($H47&lt;=0,"Liquidada",IF(AND($K47&lt;&gt;"",$K47&lt;TODAY()),"Vencida",IF($G47&gt;0,"Parcial","Pendiente"))))</f>
        <v/>
      </c>
      <c r="N47" s="3" t="n"/>
      <c r="O47" s="3" t="n"/>
    </row>
    <row r="48">
      <c r="A48" s="3" t="n"/>
      <c r="B48" s="4" t="n"/>
      <c r="C48" s="3" t="n"/>
      <c r="D48" s="3" t="n"/>
      <c r="E48" s="3" t="n"/>
      <c r="F48" s="5" t="n"/>
      <c r="G48" s="6">
        <f>IF($A48="","",SUMIFS(Pagos!$D:$D,Pagos!$A:$A,$A48,Pagos!$F:$F,"Pagado"))</f>
        <v/>
      </c>
      <c r="H48" s="6">
        <f>IF($A48="","",$F48-$G48)</f>
        <v/>
      </c>
      <c r="I48" s="7">
        <f>IF($A48="","",IF($F48=0,0,$G48/$F48))</f>
        <v/>
      </c>
      <c r="J48" s="8">
        <f>IF($A48="","",IFERROR(MAXIFS(Pagos!$C:$C,Pagos!$A:$A,$A48,Pagos!$F:$F,"Pagado"),""))</f>
        <v/>
      </c>
      <c r="K48" s="8">
        <f>IF($A48="","",IFERROR(MINIFS(Pagos!$C:$C,Pagos!$A:$A,$A48,Pagos!$F:$F,"Programado"),""))</f>
        <v/>
      </c>
      <c r="L48" s="9">
        <f>IF($A48="","",IF($K48="","",$K48-TODAY()))</f>
        <v/>
      </c>
      <c r="M48" s="9">
        <f>IF($A48="","",IF($H48&lt;=0,"Liquidada",IF(AND($K48&lt;&gt;"",$K48&lt;TODAY()),"Vencida",IF($G48&gt;0,"Parcial","Pendiente"))))</f>
        <v/>
      </c>
      <c r="N48" s="3" t="n"/>
      <c r="O48" s="3" t="n"/>
    </row>
    <row r="49">
      <c r="A49" s="3" t="n"/>
      <c r="B49" s="4" t="n"/>
      <c r="C49" s="3" t="n"/>
      <c r="D49" s="3" t="n"/>
      <c r="E49" s="3" t="n"/>
      <c r="F49" s="5" t="n"/>
      <c r="G49" s="6">
        <f>IF($A49="","",SUMIFS(Pagos!$D:$D,Pagos!$A:$A,$A49,Pagos!$F:$F,"Pagado"))</f>
        <v/>
      </c>
      <c r="H49" s="6">
        <f>IF($A49="","",$F49-$G49)</f>
        <v/>
      </c>
      <c r="I49" s="7">
        <f>IF($A49="","",IF($F49=0,0,$G49/$F49))</f>
        <v/>
      </c>
      <c r="J49" s="8">
        <f>IF($A49="","",IFERROR(MAXIFS(Pagos!$C:$C,Pagos!$A:$A,$A49,Pagos!$F:$F,"Pagado"),""))</f>
        <v/>
      </c>
      <c r="K49" s="8">
        <f>IF($A49="","",IFERROR(MINIFS(Pagos!$C:$C,Pagos!$A:$A,$A49,Pagos!$F:$F,"Programado"),""))</f>
        <v/>
      </c>
      <c r="L49" s="9">
        <f>IF($A49="","",IF($K49="","",$K49-TODAY()))</f>
        <v/>
      </c>
      <c r="M49" s="9">
        <f>IF($A49="","",IF($H49&lt;=0,"Liquidada",IF(AND($K49&lt;&gt;"",$K49&lt;TODAY()),"Vencida",IF($G49&gt;0,"Parcial","Pendiente"))))</f>
        <v/>
      </c>
      <c r="N49" s="3" t="n"/>
      <c r="O49" s="3" t="n"/>
    </row>
    <row r="50">
      <c r="A50" s="3" t="n"/>
      <c r="B50" s="4" t="n"/>
      <c r="C50" s="3" t="n"/>
      <c r="D50" s="3" t="n"/>
      <c r="E50" s="3" t="n"/>
      <c r="F50" s="5" t="n"/>
      <c r="G50" s="6">
        <f>IF($A50="","",SUMIFS(Pagos!$D:$D,Pagos!$A:$A,$A50,Pagos!$F:$F,"Pagado"))</f>
        <v/>
      </c>
      <c r="H50" s="6">
        <f>IF($A50="","",$F50-$G50)</f>
        <v/>
      </c>
      <c r="I50" s="7">
        <f>IF($A50="","",IF($F50=0,0,$G50/$F50))</f>
        <v/>
      </c>
      <c r="J50" s="8">
        <f>IF($A50="","",IFERROR(MAXIFS(Pagos!$C:$C,Pagos!$A:$A,$A50,Pagos!$F:$F,"Pagado"),""))</f>
        <v/>
      </c>
      <c r="K50" s="8">
        <f>IF($A50="","",IFERROR(MINIFS(Pagos!$C:$C,Pagos!$A:$A,$A50,Pagos!$F:$F,"Programado"),""))</f>
        <v/>
      </c>
      <c r="L50" s="9">
        <f>IF($A50="","",IF($K50="","",$K50-TODAY()))</f>
        <v/>
      </c>
      <c r="M50" s="9">
        <f>IF($A50="","",IF($H50&lt;=0,"Liquidada",IF(AND($K50&lt;&gt;"",$K50&lt;TODAY()),"Vencida",IF($G50&gt;0,"Parcial","Pendiente"))))</f>
        <v/>
      </c>
      <c r="N50" s="3" t="n"/>
      <c r="O50" s="3" t="n"/>
    </row>
    <row r="51">
      <c r="A51" s="3" t="n"/>
      <c r="B51" s="4" t="n"/>
      <c r="C51" s="3" t="n"/>
      <c r="D51" s="3" t="n"/>
      <c r="E51" s="3" t="n"/>
      <c r="F51" s="5" t="n"/>
      <c r="G51" s="6">
        <f>IF($A51="","",SUMIFS(Pagos!$D:$D,Pagos!$A:$A,$A51,Pagos!$F:$F,"Pagado"))</f>
        <v/>
      </c>
      <c r="H51" s="6">
        <f>IF($A51="","",$F51-$G51)</f>
        <v/>
      </c>
      <c r="I51" s="7">
        <f>IF($A51="","",IF($F51=0,0,$G51/$F51))</f>
        <v/>
      </c>
      <c r="J51" s="8">
        <f>IF($A51="","",IFERROR(MAXIFS(Pagos!$C:$C,Pagos!$A:$A,$A51,Pagos!$F:$F,"Pagado"),""))</f>
        <v/>
      </c>
      <c r="K51" s="8">
        <f>IF($A51="","",IFERROR(MINIFS(Pagos!$C:$C,Pagos!$A:$A,$A51,Pagos!$F:$F,"Programado"),""))</f>
        <v/>
      </c>
      <c r="L51" s="9">
        <f>IF($A51="","",IF($K51="","",$K51-TODAY()))</f>
        <v/>
      </c>
      <c r="M51" s="9">
        <f>IF($A51="","",IF($H51&lt;=0,"Liquidada",IF(AND($K51&lt;&gt;"",$K51&lt;TODAY()),"Vencida",IF($G51&gt;0,"Parcial","Pendiente"))))</f>
        <v/>
      </c>
      <c r="N51" s="3" t="n"/>
      <c r="O51" s="3" t="n"/>
    </row>
    <row r="52">
      <c r="A52" s="3" t="n"/>
      <c r="B52" s="4" t="n"/>
      <c r="C52" s="3" t="n"/>
      <c r="D52" s="3" t="n"/>
      <c r="E52" s="3" t="n"/>
      <c r="F52" s="5" t="n"/>
      <c r="G52" s="6">
        <f>IF($A52="","",SUMIFS(Pagos!$D:$D,Pagos!$A:$A,$A52,Pagos!$F:$F,"Pagado"))</f>
        <v/>
      </c>
      <c r="H52" s="6">
        <f>IF($A52="","",$F52-$G52)</f>
        <v/>
      </c>
      <c r="I52" s="7">
        <f>IF($A52="","",IF($F52=0,0,$G52/$F52))</f>
        <v/>
      </c>
      <c r="J52" s="8">
        <f>IF($A52="","",IFERROR(MAXIFS(Pagos!$C:$C,Pagos!$A:$A,$A52,Pagos!$F:$F,"Pagado"),""))</f>
        <v/>
      </c>
      <c r="K52" s="8">
        <f>IF($A52="","",IFERROR(MINIFS(Pagos!$C:$C,Pagos!$A:$A,$A52,Pagos!$F:$F,"Programado"),""))</f>
        <v/>
      </c>
      <c r="L52" s="9">
        <f>IF($A52="","",IF($K52="","",$K52-TODAY()))</f>
        <v/>
      </c>
      <c r="M52" s="9">
        <f>IF($A52="","",IF($H52&lt;=0,"Liquidada",IF(AND($K52&lt;&gt;"",$K52&lt;TODAY()),"Vencida",IF($G52&gt;0,"Parcial","Pendiente"))))</f>
        <v/>
      </c>
      <c r="N52" s="3" t="n"/>
      <c r="O52" s="3" t="n"/>
    </row>
    <row r="53">
      <c r="A53" s="3" t="n"/>
      <c r="B53" s="4" t="n"/>
      <c r="C53" s="3" t="n"/>
      <c r="D53" s="3" t="n"/>
      <c r="E53" s="3" t="n"/>
      <c r="F53" s="5" t="n"/>
      <c r="G53" s="6">
        <f>IF($A53="","",SUMIFS(Pagos!$D:$D,Pagos!$A:$A,$A53,Pagos!$F:$F,"Pagado"))</f>
        <v/>
      </c>
      <c r="H53" s="6">
        <f>IF($A53="","",$F53-$G53)</f>
        <v/>
      </c>
      <c r="I53" s="7">
        <f>IF($A53="","",IF($F53=0,0,$G53/$F53))</f>
        <v/>
      </c>
      <c r="J53" s="8">
        <f>IF($A53="","",IFERROR(MAXIFS(Pagos!$C:$C,Pagos!$A:$A,$A53,Pagos!$F:$F,"Pagado"),""))</f>
        <v/>
      </c>
      <c r="K53" s="8">
        <f>IF($A53="","",IFERROR(MINIFS(Pagos!$C:$C,Pagos!$A:$A,$A53,Pagos!$F:$F,"Programado"),""))</f>
        <v/>
      </c>
      <c r="L53" s="9">
        <f>IF($A53="","",IF($K53="","",$K53-TODAY()))</f>
        <v/>
      </c>
      <c r="M53" s="9">
        <f>IF($A53="","",IF($H53&lt;=0,"Liquidada",IF(AND($K53&lt;&gt;"",$K53&lt;TODAY()),"Vencida",IF($G53&gt;0,"Parcial","Pendiente"))))</f>
        <v/>
      </c>
      <c r="N53" s="3" t="n"/>
      <c r="O53" s="3" t="n"/>
    </row>
    <row r="54">
      <c r="A54" s="3" t="n"/>
      <c r="B54" s="4" t="n"/>
      <c r="C54" s="3" t="n"/>
      <c r="D54" s="3" t="n"/>
      <c r="E54" s="3" t="n"/>
      <c r="F54" s="5" t="n"/>
      <c r="G54" s="6">
        <f>IF($A54="","",SUMIFS(Pagos!$D:$D,Pagos!$A:$A,$A54,Pagos!$F:$F,"Pagado"))</f>
        <v/>
      </c>
      <c r="H54" s="6">
        <f>IF($A54="","",$F54-$G54)</f>
        <v/>
      </c>
      <c r="I54" s="7">
        <f>IF($A54="","",IF($F54=0,0,$G54/$F54))</f>
        <v/>
      </c>
      <c r="J54" s="8">
        <f>IF($A54="","",IFERROR(MAXIFS(Pagos!$C:$C,Pagos!$A:$A,$A54,Pagos!$F:$F,"Pagado"),""))</f>
        <v/>
      </c>
      <c r="K54" s="8">
        <f>IF($A54="","",IFERROR(MINIFS(Pagos!$C:$C,Pagos!$A:$A,$A54,Pagos!$F:$F,"Programado"),""))</f>
        <v/>
      </c>
      <c r="L54" s="9">
        <f>IF($A54="","",IF($K54="","",$K54-TODAY()))</f>
        <v/>
      </c>
      <c r="M54" s="9">
        <f>IF($A54="","",IF($H54&lt;=0,"Liquidada",IF(AND($K54&lt;&gt;"",$K54&lt;TODAY()),"Vencida",IF($G54&gt;0,"Parcial","Pendiente"))))</f>
        <v/>
      </c>
      <c r="N54" s="3" t="n"/>
      <c r="O54" s="3" t="n"/>
    </row>
    <row r="55">
      <c r="A55" s="3" t="n"/>
      <c r="B55" s="4" t="n"/>
      <c r="C55" s="3" t="n"/>
      <c r="D55" s="3" t="n"/>
      <c r="E55" s="3" t="n"/>
      <c r="F55" s="5" t="n"/>
      <c r="G55" s="6">
        <f>IF($A55="","",SUMIFS(Pagos!$D:$D,Pagos!$A:$A,$A55,Pagos!$F:$F,"Pagado"))</f>
        <v/>
      </c>
      <c r="H55" s="6">
        <f>IF($A55="","",$F55-$G55)</f>
        <v/>
      </c>
      <c r="I55" s="7">
        <f>IF($A55="","",IF($F55=0,0,$G55/$F55))</f>
        <v/>
      </c>
      <c r="J55" s="8">
        <f>IF($A55="","",IFERROR(MAXIFS(Pagos!$C:$C,Pagos!$A:$A,$A55,Pagos!$F:$F,"Pagado"),""))</f>
        <v/>
      </c>
      <c r="K55" s="8">
        <f>IF($A55="","",IFERROR(MINIFS(Pagos!$C:$C,Pagos!$A:$A,$A55,Pagos!$F:$F,"Programado"),""))</f>
        <v/>
      </c>
      <c r="L55" s="9">
        <f>IF($A55="","",IF($K55="","",$K55-TODAY()))</f>
        <v/>
      </c>
      <c r="M55" s="9">
        <f>IF($A55="","",IF($H55&lt;=0,"Liquidada",IF(AND($K55&lt;&gt;"",$K55&lt;TODAY()),"Vencida",IF($G55&gt;0,"Parcial","Pendiente"))))</f>
        <v/>
      </c>
      <c r="N55" s="3" t="n"/>
      <c r="O55" s="3" t="n"/>
    </row>
    <row r="56">
      <c r="A56" s="3" t="n"/>
      <c r="B56" s="4" t="n"/>
      <c r="C56" s="3" t="n"/>
      <c r="D56" s="3" t="n"/>
      <c r="E56" s="3" t="n"/>
      <c r="F56" s="5" t="n"/>
      <c r="G56" s="6">
        <f>IF($A56="","",SUMIFS(Pagos!$D:$D,Pagos!$A:$A,$A56,Pagos!$F:$F,"Pagado"))</f>
        <v/>
      </c>
      <c r="H56" s="6">
        <f>IF($A56="","",$F56-$G56)</f>
        <v/>
      </c>
      <c r="I56" s="7">
        <f>IF($A56="","",IF($F56=0,0,$G56/$F56))</f>
        <v/>
      </c>
      <c r="J56" s="8">
        <f>IF($A56="","",IFERROR(MAXIFS(Pagos!$C:$C,Pagos!$A:$A,$A56,Pagos!$F:$F,"Pagado"),""))</f>
        <v/>
      </c>
      <c r="K56" s="8">
        <f>IF($A56="","",IFERROR(MINIFS(Pagos!$C:$C,Pagos!$A:$A,$A56,Pagos!$F:$F,"Programado"),""))</f>
        <v/>
      </c>
      <c r="L56" s="9">
        <f>IF($A56="","",IF($K56="","",$K56-TODAY()))</f>
        <v/>
      </c>
      <c r="M56" s="9">
        <f>IF($A56="","",IF($H56&lt;=0,"Liquidada",IF(AND($K56&lt;&gt;"",$K56&lt;TODAY()),"Vencida",IF($G56&gt;0,"Parcial","Pendiente"))))</f>
        <v/>
      </c>
      <c r="N56" s="3" t="n"/>
      <c r="O56" s="3" t="n"/>
    </row>
    <row r="57">
      <c r="A57" s="3" t="n"/>
      <c r="B57" s="4" t="n"/>
      <c r="C57" s="3" t="n"/>
      <c r="D57" s="3" t="n"/>
      <c r="E57" s="3" t="n"/>
      <c r="F57" s="5" t="n"/>
      <c r="G57" s="6">
        <f>IF($A57="","",SUMIFS(Pagos!$D:$D,Pagos!$A:$A,$A57,Pagos!$F:$F,"Pagado"))</f>
        <v/>
      </c>
      <c r="H57" s="6">
        <f>IF($A57="","",$F57-$G57)</f>
        <v/>
      </c>
      <c r="I57" s="7">
        <f>IF($A57="","",IF($F57=0,0,$G57/$F57))</f>
        <v/>
      </c>
      <c r="J57" s="8">
        <f>IF($A57="","",IFERROR(MAXIFS(Pagos!$C:$C,Pagos!$A:$A,$A57,Pagos!$F:$F,"Pagado"),""))</f>
        <v/>
      </c>
      <c r="K57" s="8">
        <f>IF($A57="","",IFERROR(MINIFS(Pagos!$C:$C,Pagos!$A:$A,$A57,Pagos!$F:$F,"Programado"),""))</f>
        <v/>
      </c>
      <c r="L57" s="9">
        <f>IF($A57="","",IF($K57="","",$K57-TODAY()))</f>
        <v/>
      </c>
      <c r="M57" s="9">
        <f>IF($A57="","",IF($H57&lt;=0,"Liquidada",IF(AND($K57&lt;&gt;"",$K57&lt;TODAY()),"Vencida",IF($G57&gt;0,"Parcial","Pendiente"))))</f>
        <v/>
      </c>
      <c r="N57" s="3" t="n"/>
      <c r="O57" s="3" t="n"/>
    </row>
    <row r="58">
      <c r="A58" s="3" t="n"/>
      <c r="B58" s="4" t="n"/>
      <c r="C58" s="3" t="n"/>
      <c r="D58" s="3" t="n"/>
      <c r="E58" s="3" t="n"/>
      <c r="F58" s="5" t="n"/>
      <c r="G58" s="6">
        <f>IF($A58="","",SUMIFS(Pagos!$D:$D,Pagos!$A:$A,$A58,Pagos!$F:$F,"Pagado"))</f>
        <v/>
      </c>
      <c r="H58" s="6">
        <f>IF($A58="","",$F58-$G58)</f>
        <v/>
      </c>
      <c r="I58" s="7">
        <f>IF($A58="","",IF($F58=0,0,$G58/$F58))</f>
        <v/>
      </c>
      <c r="J58" s="8">
        <f>IF($A58="","",IFERROR(MAXIFS(Pagos!$C:$C,Pagos!$A:$A,$A58,Pagos!$F:$F,"Pagado"),""))</f>
        <v/>
      </c>
      <c r="K58" s="8">
        <f>IF($A58="","",IFERROR(MINIFS(Pagos!$C:$C,Pagos!$A:$A,$A58,Pagos!$F:$F,"Programado"),""))</f>
        <v/>
      </c>
      <c r="L58" s="9">
        <f>IF($A58="","",IF($K58="","",$K58-TODAY()))</f>
        <v/>
      </c>
      <c r="M58" s="9">
        <f>IF($A58="","",IF($H58&lt;=0,"Liquidada",IF(AND($K58&lt;&gt;"",$K58&lt;TODAY()),"Vencida",IF($G58&gt;0,"Parcial","Pendiente"))))</f>
        <v/>
      </c>
      <c r="N58" s="3" t="n"/>
      <c r="O58" s="3" t="n"/>
    </row>
    <row r="59">
      <c r="A59" s="3" t="n"/>
      <c r="B59" s="4" t="n"/>
      <c r="C59" s="3" t="n"/>
      <c r="D59" s="3" t="n"/>
      <c r="E59" s="3" t="n"/>
      <c r="F59" s="5" t="n"/>
      <c r="G59" s="6">
        <f>IF($A59="","",SUMIFS(Pagos!$D:$D,Pagos!$A:$A,$A59,Pagos!$F:$F,"Pagado"))</f>
        <v/>
      </c>
      <c r="H59" s="6">
        <f>IF($A59="","",$F59-$G59)</f>
        <v/>
      </c>
      <c r="I59" s="7">
        <f>IF($A59="","",IF($F59=0,0,$G59/$F59))</f>
        <v/>
      </c>
      <c r="J59" s="8">
        <f>IF($A59="","",IFERROR(MAXIFS(Pagos!$C:$C,Pagos!$A:$A,$A59,Pagos!$F:$F,"Pagado"),""))</f>
        <v/>
      </c>
      <c r="K59" s="8">
        <f>IF($A59="","",IFERROR(MINIFS(Pagos!$C:$C,Pagos!$A:$A,$A59,Pagos!$F:$F,"Programado"),""))</f>
        <v/>
      </c>
      <c r="L59" s="9">
        <f>IF($A59="","",IF($K59="","",$K59-TODAY()))</f>
        <v/>
      </c>
      <c r="M59" s="9">
        <f>IF($A59="","",IF($H59&lt;=0,"Liquidada",IF(AND($K59&lt;&gt;"",$K59&lt;TODAY()),"Vencida",IF($G59&gt;0,"Parcial","Pendiente"))))</f>
        <v/>
      </c>
      <c r="N59" s="3" t="n"/>
      <c r="O59" s="3" t="n"/>
    </row>
    <row r="60">
      <c r="A60" s="3" t="n"/>
      <c r="B60" s="4" t="n"/>
      <c r="C60" s="3" t="n"/>
      <c r="D60" s="3" t="n"/>
      <c r="E60" s="3" t="n"/>
      <c r="F60" s="5" t="n"/>
      <c r="G60" s="6">
        <f>IF($A60="","",SUMIFS(Pagos!$D:$D,Pagos!$A:$A,$A60,Pagos!$F:$F,"Pagado"))</f>
        <v/>
      </c>
      <c r="H60" s="6">
        <f>IF($A60="","",$F60-$G60)</f>
        <v/>
      </c>
      <c r="I60" s="7">
        <f>IF($A60="","",IF($F60=0,0,$G60/$F60))</f>
        <v/>
      </c>
      <c r="J60" s="8">
        <f>IF($A60="","",IFERROR(MAXIFS(Pagos!$C:$C,Pagos!$A:$A,$A60,Pagos!$F:$F,"Pagado"),""))</f>
        <v/>
      </c>
      <c r="K60" s="8">
        <f>IF($A60="","",IFERROR(MINIFS(Pagos!$C:$C,Pagos!$A:$A,$A60,Pagos!$F:$F,"Programado"),""))</f>
        <v/>
      </c>
      <c r="L60" s="9">
        <f>IF($A60="","",IF($K60="","",$K60-TODAY()))</f>
        <v/>
      </c>
      <c r="M60" s="9">
        <f>IF($A60="","",IF($H60&lt;=0,"Liquidada",IF(AND($K60&lt;&gt;"",$K60&lt;TODAY()),"Vencida",IF($G60&gt;0,"Parcial","Pendiente"))))</f>
        <v/>
      </c>
      <c r="N60" s="3" t="n"/>
      <c r="O60" s="3" t="n"/>
    </row>
    <row r="61">
      <c r="A61" s="3" t="n"/>
      <c r="B61" s="4" t="n"/>
      <c r="C61" s="3" t="n"/>
      <c r="D61" s="3" t="n"/>
      <c r="E61" s="3" t="n"/>
      <c r="F61" s="5" t="n"/>
      <c r="G61" s="6">
        <f>IF($A61="","",SUMIFS(Pagos!$D:$D,Pagos!$A:$A,$A61,Pagos!$F:$F,"Pagado"))</f>
        <v/>
      </c>
      <c r="H61" s="6">
        <f>IF($A61="","",$F61-$G61)</f>
        <v/>
      </c>
      <c r="I61" s="7">
        <f>IF($A61="","",IF($F61=0,0,$G61/$F61))</f>
        <v/>
      </c>
      <c r="J61" s="8">
        <f>IF($A61="","",IFERROR(MAXIFS(Pagos!$C:$C,Pagos!$A:$A,$A61,Pagos!$F:$F,"Pagado"),""))</f>
        <v/>
      </c>
      <c r="K61" s="8">
        <f>IF($A61="","",IFERROR(MINIFS(Pagos!$C:$C,Pagos!$A:$A,$A61,Pagos!$F:$F,"Programado"),""))</f>
        <v/>
      </c>
      <c r="L61" s="9">
        <f>IF($A61="","",IF($K61="","",$K61-TODAY()))</f>
        <v/>
      </c>
      <c r="M61" s="9">
        <f>IF($A61="","",IF($H61&lt;=0,"Liquidada",IF(AND($K61&lt;&gt;"",$K61&lt;TODAY()),"Vencida",IF($G61&gt;0,"Parcial","Pendiente"))))</f>
        <v/>
      </c>
      <c r="N61" s="3" t="n"/>
      <c r="O61" s="3" t="n"/>
    </row>
    <row r="62">
      <c r="A62" s="3" t="n"/>
      <c r="B62" s="4" t="n"/>
      <c r="C62" s="3" t="n"/>
      <c r="D62" s="3" t="n"/>
      <c r="E62" s="3" t="n"/>
      <c r="F62" s="5" t="n"/>
      <c r="G62" s="6">
        <f>IF($A62="","",SUMIFS(Pagos!$D:$D,Pagos!$A:$A,$A62,Pagos!$F:$F,"Pagado"))</f>
        <v/>
      </c>
      <c r="H62" s="6">
        <f>IF($A62="","",$F62-$G62)</f>
        <v/>
      </c>
      <c r="I62" s="7">
        <f>IF($A62="","",IF($F62=0,0,$G62/$F62))</f>
        <v/>
      </c>
      <c r="J62" s="8">
        <f>IF($A62="","",IFERROR(MAXIFS(Pagos!$C:$C,Pagos!$A:$A,$A62,Pagos!$F:$F,"Pagado"),""))</f>
        <v/>
      </c>
      <c r="K62" s="8">
        <f>IF($A62="","",IFERROR(MINIFS(Pagos!$C:$C,Pagos!$A:$A,$A62,Pagos!$F:$F,"Programado"),""))</f>
        <v/>
      </c>
      <c r="L62" s="9">
        <f>IF($A62="","",IF($K62="","",$K62-TODAY()))</f>
        <v/>
      </c>
      <c r="M62" s="9">
        <f>IF($A62="","",IF($H62&lt;=0,"Liquidada",IF(AND($K62&lt;&gt;"",$K62&lt;TODAY()),"Vencida",IF($G62&gt;0,"Parcial","Pendiente"))))</f>
        <v/>
      </c>
      <c r="N62" s="3" t="n"/>
      <c r="O62" s="3" t="n"/>
    </row>
    <row r="63">
      <c r="A63" s="3" t="n"/>
      <c r="B63" s="4" t="n"/>
      <c r="C63" s="3" t="n"/>
      <c r="D63" s="3" t="n"/>
      <c r="E63" s="3" t="n"/>
      <c r="F63" s="5" t="n"/>
      <c r="G63" s="6">
        <f>IF($A63="","",SUMIFS(Pagos!$D:$D,Pagos!$A:$A,$A63,Pagos!$F:$F,"Pagado"))</f>
        <v/>
      </c>
      <c r="H63" s="6">
        <f>IF($A63="","",$F63-$G63)</f>
        <v/>
      </c>
      <c r="I63" s="7">
        <f>IF($A63="","",IF($F63=0,0,$G63/$F63))</f>
        <v/>
      </c>
      <c r="J63" s="8">
        <f>IF($A63="","",IFERROR(MAXIFS(Pagos!$C:$C,Pagos!$A:$A,$A63,Pagos!$F:$F,"Pagado"),""))</f>
        <v/>
      </c>
      <c r="K63" s="8">
        <f>IF($A63="","",IFERROR(MINIFS(Pagos!$C:$C,Pagos!$A:$A,$A63,Pagos!$F:$F,"Programado"),""))</f>
        <v/>
      </c>
      <c r="L63" s="9">
        <f>IF($A63="","",IF($K63="","",$K63-TODAY()))</f>
        <v/>
      </c>
      <c r="M63" s="9">
        <f>IF($A63="","",IF($H63&lt;=0,"Liquidada",IF(AND($K63&lt;&gt;"",$K63&lt;TODAY()),"Vencida",IF($G63&gt;0,"Parcial","Pendiente"))))</f>
        <v/>
      </c>
      <c r="N63" s="3" t="n"/>
      <c r="O63" s="3" t="n"/>
    </row>
    <row r="64">
      <c r="A64" s="3" t="n"/>
      <c r="B64" s="4" t="n"/>
      <c r="C64" s="3" t="n"/>
      <c r="D64" s="3" t="n"/>
      <c r="E64" s="3" t="n"/>
      <c r="F64" s="5" t="n"/>
      <c r="G64" s="6">
        <f>IF($A64="","",SUMIFS(Pagos!$D:$D,Pagos!$A:$A,$A64,Pagos!$F:$F,"Pagado"))</f>
        <v/>
      </c>
      <c r="H64" s="6">
        <f>IF($A64="","",$F64-$G64)</f>
        <v/>
      </c>
      <c r="I64" s="7">
        <f>IF($A64="","",IF($F64=0,0,$G64/$F64))</f>
        <v/>
      </c>
      <c r="J64" s="8">
        <f>IF($A64="","",IFERROR(MAXIFS(Pagos!$C:$C,Pagos!$A:$A,$A64,Pagos!$F:$F,"Pagado"),""))</f>
        <v/>
      </c>
      <c r="K64" s="8">
        <f>IF($A64="","",IFERROR(MINIFS(Pagos!$C:$C,Pagos!$A:$A,$A64,Pagos!$F:$F,"Programado"),""))</f>
        <v/>
      </c>
      <c r="L64" s="9">
        <f>IF($A64="","",IF($K64="","",$K64-TODAY()))</f>
        <v/>
      </c>
      <c r="M64" s="9">
        <f>IF($A64="","",IF($H64&lt;=0,"Liquidada",IF(AND($K64&lt;&gt;"",$K64&lt;TODAY()),"Vencida",IF($G64&gt;0,"Parcial","Pendiente"))))</f>
        <v/>
      </c>
      <c r="N64" s="3" t="n"/>
      <c r="O64" s="3" t="n"/>
    </row>
    <row r="65">
      <c r="A65" s="3" t="n"/>
      <c r="B65" s="4" t="n"/>
      <c r="C65" s="3" t="n"/>
      <c r="D65" s="3" t="n"/>
      <c r="E65" s="3" t="n"/>
      <c r="F65" s="5" t="n"/>
      <c r="G65" s="6">
        <f>IF($A65="","",SUMIFS(Pagos!$D:$D,Pagos!$A:$A,$A65,Pagos!$F:$F,"Pagado"))</f>
        <v/>
      </c>
      <c r="H65" s="6">
        <f>IF($A65="","",$F65-$G65)</f>
        <v/>
      </c>
      <c r="I65" s="7">
        <f>IF($A65="","",IF($F65=0,0,$G65/$F65))</f>
        <v/>
      </c>
      <c r="J65" s="8">
        <f>IF($A65="","",IFERROR(MAXIFS(Pagos!$C:$C,Pagos!$A:$A,$A65,Pagos!$F:$F,"Pagado"),""))</f>
        <v/>
      </c>
      <c r="K65" s="8">
        <f>IF($A65="","",IFERROR(MINIFS(Pagos!$C:$C,Pagos!$A:$A,$A65,Pagos!$F:$F,"Programado"),""))</f>
        <v/>
      </c>
      <c r="L65" s="9">
        <f>IF($A65="","",IF($K65="","",$K65-TODAY()))</f>
        <v/>
      </c>
      <c r="M65" s="9">
        <f>IF($A65="","",IF($H65&lt;=0,"Liquidada",IF(AND($K65&lt;&gt;"",$K65&lt;TODAY()),"Vencida",IF($G65&gt;0,"Parcial","Pendiente"))))</f>
        <v/>
      </c>
      <c r="N65" s="3" t="n"/>
      <c r="O65" s="3" t="n"/>
    </row>
    <row r="66">
      <c r="A66" s="3" t="n"/>
      <c r="B66" s="4" t="n"/>
      <c r="C66" s="3" t="n"/>
      <c r="D66" s="3" t="n"/>
      <c r="E66" s="3" t="n"/>
      <c r="F66" s="5" t="n"/>
      <c r="G66" s="6">
        <f>IF($A66="","",SUMIFS(Pagos!$D:$D,Pagos!$A:$A,$A66,Pagos!$F:$F,"Pagado"))</f>
        <v/>
      </c>
      <c r="H66" s="6">
        <f>IF($A66="","",$F66-$G66)</f>
        <v/>
      </c>
      <c r="I66" s="7">
        <f>IF($A66="","",IF($F66=0,0,$G66/$F66))</f>
        <v/>
      </c>
      <c r="J66" s="8">
        <f>IF($A66="","",IFERROR(MAXIFS(Pagos!$C:$C,Pagos!$A:$A,$A66,Pagos!$F:$F,"Pagado"),""))</f>
        <v/>
      </c>
      <c r="K66" s="8">
        <f>IF($A66="","",IFERROR(MINIFS(Pagos!$C:$C,Pagos!$A:$A,$A66,Pagos!$F:$F,"Programado"),""))</f>
        <v/>
      </c>
      <c r="L66" s="9">
        <f>IF($A66="","",IF($K66="","",$K66-TODAY()))</f>
        <v/>
      </c>
      <c r="M66" s="9">
        <f>IF($A66="","",IF($H66&lt;=0,"Liquidada",IF(AND($K66&lt;&gt;"",$K66&lt;TODAY()),"Vencida",IF($G66&gt;0,"Parcial","Pendiente"))))</f>
        <v/>
      </c>
      <c r="N66" s="3" t="n"/>
      <c r="O66" s="3" t="n"/>
    </row>
    <row r="67">
      <c r="A67" s="3" t="n"/>
      <c r="B67" s="4" t="n"/>
      <c r="C67" s="3" t="n"/>
      <c r="D67" s="3" t="n"/>
      <c r="E67" s="3" t="n"/>
      <c r="F67" s="5" t="n"/>
      <c r="G67" s="6">
        <f>IF($A67="","",SUMIFS(Pagos!$D:$D,Pagos!$A:$A,$A67,Pagos!$F:$F,"Pagado"))</f>
        <v/>
      </c>
      <c r="H67" s="6">
        <f>IF($A67="","",$F67-$G67)</f>
        <v/>
      </c>
      <c r="I67" s="7">
        <f>IF($A67="","",IF($F67=0,0,$G67/$F67))</f>
        <v/>
      </c>
      <c r="J67" s="8">
        <f>IF($A67="","",IFERROR(MAXIFS(Pagos!$C:$C,Pagos!$A:$A,$A67,Pagos!$F:$F,"Pagado"),""))</f>
        <v/>
      </c>
      <c r="K67" s="8">
        <f>IF($A67="","",IFERROR(MINIFS(Pagos!$C:$C,Pagos!$A:$A,$A67,Pagos!$F:$F,"Programado"),""))</f>
        <v/>
      </c>
      <c r="L67" s="9">
        <f>IF($A67="","",IF($K67="","",$K67-TODAY()))</f>
        <v/>
      </c>
      <c r="M67" s="9">
        <f>IF($A67="","",IF($H67&lt;=0,"Liquidada",IF(AND($K67&lt;&gt;"",$K67&lt;TODAY()),"Vencida",IF($G67&gt;0,"Parcial","Pendiente"))))</f>
        <v/>
      </c>
      <c r="N67" s="3" t="n"/>
      <c r="O67" s="3" t="n"/>
    </row>
    <row r="68">
      <c r="A68" s="3" t="n"/>
      <c r="B68" s="4" t="n"/>
      <c r="C68" s="3" t="n"/>
      <c r="D68" s="3" t="n"/>
      <c r="E68" s="3" t="n"/>
      <c r="F68" s="5" t="n"/>
      <c r="G68" s="6">
        <f>IF($A68="","",SUMIFS(Pagos!$D:$D,Pagos!$A:$A,$A68,Pagos!$F:$F,"Pagado"))</f>
        <v/>
      </c>
      <c r="H68" s="6">
        <f>IF($A68="","",$F68-$G68)</f>
        <v/>
      </c>
      <c r="I68" s="7">
        <f>IF($A68="","",IF($F68=0,0,$G68/$F68))</f>
        <v/>
      </c>
      <c r="J68" s="8">
        <f>IF($A68="","",IFERROR(MAXIFS(Pagos!$C:$C,Pagos!$A:$A,$A68,Pagos!$F:$F,"Pagado"),""))</f>
        <v/>
      </c>
      <c r="K68" s="8">
        <f>IF($A68="","",IFERROR(MINIFS(Pagos!$C:$C,Pagos!$A:$A,$A68,Pagos!$F:$F,"Programado"),""))</f>
        <v/>
      </c>
      <c r="L68" s="9">
        <f>IF($A68="","",IF($K68="","",$K68-TODAY()))</f>
        <v/>
      </c>
      <c r="M68" s="9">
        <f>IF($A68="","",IF($H68&lt;=0,"Liquidada",IF(AND($K68&lt;&gt;"",$K68&lt;TODAY()),"Vencida",IF($G68&gt;0,"Parcial","Pendiente"))))</f>
        <v/>
      </c>
      <c r="N68" s="3" t="n"/>
      <c r="O68" s="3" t="n"/>
    </row>
    <row r="69">
      <c r="A69" s="3" t="n"/>
      <c r="B69" s="4" t="n"/>
      <c r="C69" s="3" t="n"/>
      <c r="D69" s="3" t="n"/>
      <c r="E69" s="3" t="n"/>
      <c r="F69" s="5" t="n"/>
      <c r="G69" s="6">
        <f>IF($A69="","",SUMIFS(Pagos!$D:$D,Pagos!$A:$A,$A69,Pagos!$F:$F,"Pagado"))</f>
        <v/>
      </c>
      <c r="H69" s="6">
        <f>IF($A69="","",$F69-$G69)</f>
        <v/>
      </c>
      <c r="I69" s="7">
        <f>IF($A69="","",IF($F69=0,0,$G69/$F69))</f>
        <v/>
      </c>
      <c r="J69" s="8">
        <f>IF($A69="","",IFERROR(MAXIFS(Pagos!$C:$C,Pagos!$A:$A,$A69,Pagos!$F:$F,"Pagado"),""))</f>
        <v/>
      </c>
      <c r="K69" s="8">
        <f>IF($A69="","",IFERROR(MINIFS(Pagos!$C:$C,Pagos!$A:$A,$A69,Pagos!$F:$F,"Programado"),""))</f>
        <v/>
      </c>
      <c r="L69" s="9">
        <f>IF($A69="","",IF($K69="","",$K69-TODAY()))</f>
        <v/>
      </c>
      <c r="M69" s="9">
        <f>IF($A69="","",IF($H69&lt;=0,"Liquidada",IF(AND($K69&lt;&gt;"",$K69&lt;TODAY()),"Vencida",IF($G69&gt;0,"Parcial","Pendiente"))))</f>
        <v/>
      </c>
      <c r="N69" s="3" t="n"/>
      <c r="O69" s="3" t="n"/>
    </row>
    <row r="70">
      <c r="A70" s="3" t="n"/>
      <c r="B70" s="4" t="n"/>
      <c r="C70" s="3" t="n"/>
      <c r="D70" s="3" t="n"/>
      <c r="E70" s="3" t="n"/>
      <c r="F70" s="5" t="n"/>
      <c r="G70" s="6">
        <f>IF($A70="","",SUMIFS(Pagos!$D:$D,Pagos!$A:$A,$A70,Pagos!$F:$F,"Pagado"))</f>
        <v/>
      </c>
      <c r="H70" s="6">
        <f>IF($A70="","",$F70-$G70)</f>
        <v/>
      </c>
      <c r="I70" s="7">
        <f>IF($A70="","",IF($F70=0,0,$G70/$F70))</f>
        <v/>
      </c>
      <c r="J70" s="8">
        <f>IF($A70="","",IFERROR(MAXIFS(Pagos!$C:$C,Pagos!$A:$A,$A70,Pagos!$F:$F,"Pagado"),""))</f>
        <v/>
      </c>
      <c r="K70" s="8">
        <f>IF($A70="","",IFERROR(MINIFS(Pagos!$C:$C,Pagos!$A:$A,$A70,Pagos!$F:$F,"Programado"),""))</f>
        <v/>
      </c>
      <c r="L70" s="9">
        <f>IF($A70="","",IF($K70="","",$K70-TODAY()))</f>
        <v/>
      </c>
      <c r="M70" s="9">
        <f>IF($A70="","",IF($H70&lt;=0,"Liquidada",IF(AND($K70&lt;&gt;"",$K70&lt;TODAY()),"Vencida",IF($G70&gt;0,"Parcial","Pendiente"))))</f>
        <v/>
      </c>
      <c r="N70" s="3" t="n"/>
      <c r="O70" s="3" t="n"/>
    </row>
    <row r="71">
      <c r="A71" s="3" t="n"/>
      <c r="B71" s="4" t="n"/>
      <c r="C71" s="3" t="n"/>
      <c r="D71" s="3" t="n"/>
      <c r="E71" s="3" t="n"/>
      <c r="F71" s="5" t="n"/>
      <c r="G71" s="6">
        <f>IF($A71="","",SUMIFS(Pagos!$D:$D,Pagos!$A:$A,$A71,Pagos!$F:$F,"Pagado"))</f>
        <v/>
      </c>
      <c r="H71" s="6">
        <f>IF($A71="","",$F71-$G71)</f>
        <v/>
      </c>
      <c r="I71" s="7">
        <f>IF($A71="","",IF($F71=0,0,$G71/$F71))</f>
        <v/>
      </c>
      <c r="J71" s="8">
        <f>IF($A71="","",IFERROR(MAXIFS(Pagos!$C:$C,Pagos!$A:$A,$A71,Pagos!$F:$F,"Pagado"),""))</f>
        <v/>
      </c>
      <c r="K71" s="8">
        <f>IF($A71="","",IFERROR(MINIFS(Pagos!$C:$C,Pagos!$A:$A,$A71,Pagos!$F:$F,"Programado"),""))</f>
        <v/>
      </c>
      <c r="L71" s="9">
        <f>IF($A71="","",IF($K71="","",$K71-TODAY()))</f>
        <v/>
      </c>
      <c r="M71" s="9">
        <f>IF($A71="","",IF($H71&lt;=0,"Liquidada",IF(AND($K71&lt;&gt;"",$K71&lt;TODAY()),"Vencida",IF($G71&gt;0,"Parcial","Pendiente"))))</f>
        <v/>
      </c>
      <c r="N71" s="3" t="n"/>
      <c r="O71" s="3" t="n"/>
    </row>
    <row r="72">
      <c r="A72" s="3" t="n"/>
      <c r="B72" s="4" t="n"/>
      <c r="C72" s="3" t="n"/>
      <c r="D72" s="3" t="n"/>
      <c r="E72" s="3" t="n"/>
      <c r="F72" s="5" t="n"/>
      <c r="G72" s="6">
        <f>IF($A72="","",SUMIFS(Pagos!$D:$D,Pagos!$A:$A,$A72,Pagos!$F:$F,"Pagado"))</f>
        <v/>
      </c>
      <c r="H72" s="6">
        <f>IF($A72="","",$F72-$G72)</f>
        <v/>
      </c>
      <c r="I72" s="7">
        <f>IF($A72="","",IF($F72=0,0,$G72/$F72))</f>
        <v/>
      </c>
      <c r="J72" s="8">
        <f>IF($A72="","",IFERROR(MAXIFS(Pagos!$C:$C,Pagos!$A:$A,$A72,Pagos!$F:$F,"Pagado"),""))</f>
        <v/>
      </c>
      <c r="K72" s="8">
        <f>IF($A72="","",IFERROR(MINIFS(Pagos!$C:$C,Pagos!$A:$A,$A72,Pagos!$F:$F,"Programado"),""))</f>
        <v/>
      </c>
      <c r="L72" s="9">
        <f>IF($A72="","",IF($K72="","",$K72-TODAY()))</f>
        <v/>
      </c>
      <c r="M72" s="9">
        <f>IF($A72="","",IF($H72&lt;=0,"Liquidada",IF(AND($K72&lt;&gt;"",$K72&lt;TODAY()),"Vencida",IF($G72&gt;0,"Parcial","Pendiente"))))</f>
        <v/>
      </c>
      <c r="N72" s="3" t="n"/>
      <c r="O72" s="3" t="n"/>
    </row>
    <row r="73">
      <c r="A73" s="3" t="n"/>
      <c r="B73" s="4" t="n"/>
      <c r="C73" s="3" t="n"/>
      <c r="D73" s="3" t="n"/>
      <c r="E73" s="3" t="n"/>
      <c r="F73" s="5" t="n"/>
      <c r="G73" s="6">
        <f>IF($A73="","",SUMIFS(Pagos!$D:$D,Pagos!$A:$A,$A73,Pagos!$F:$F,"Pagado"))</f>
        <v/>
      </c>
      <c r="H73" s="6">
        <f>IF($A73="","",$F73-$G73)</f>
        <v/>
      </c>
      <c r="I73" s="7">
        <f>IF($A73="","",IF($F73=0,0,$G73/$F73))</f>
        <v/>
      </c>
      <c r="J73" s="8">
        <f>IF($A73="","",IFERROR(MAXIFS(Pagos!$C:$C,Pagos!$A:$A,$A73,Pagos!$F:$F,"Pagado"),""))</f>
        <v/>
      </c>
      <c r="K73" s="8">
        <f>IF($A73="","",IFERROR(MINIFS(Pagos!$C:$C,Pagos!$A:$A,$A73,Pagos!$F:$F,"Programado"),""))</f>
        <v/>
      </c>
      <c r="L73" s="9">
        <f>IF($A73="","",IF($K73="","",$K73-TODAY()))</f>
        <v/>
      </c>
      <c r="M73" s="9">
        <f>IF($A73="","",IF($H73&lt;=0,"Liquidada",IF(AND($K73&lt;&gt;"",$K73&lt;TODAY()),"Vencida",IF($G73&gt;0,"Parcial","Pendiente"))))</f>
        <v/>
      </c>
      <c r="N73" s="3" t="n"/>
      <c r="O73" s="3" t="n"/>
    </row>
    <row r="74">
      <c r="A74" s="3" t="n"/>
      <c r="B74" s="4" t="n"/>
      <c r="C74" s="3" t="n"/>
      <c r="D74" s="3" t="n"/>
      <c r="E74" s="3" t="n"/>
      <c r="F74" s="5" t="n"/>
      <c r="G74" s="6">
        <f>IF($A74="","",SUMIFS(Pagos!$D:$D,Pagos!$A:$A,$A74,Pagos!$F:$F,"Pagado"))</f>
        <v/>
      </c>
      <c r="H74" s="6">
        <f>IF($A74="","",$F74-$G74)</f>
        <v/>
      </c>
      <c r="I74" s="7">
        <f>IF($A74="","",IF($F74=0,0,$G74/$F74))</f>
        <v/>
      </c>
      <c r="J74" s="8">
        <f>IF($A74="","",IFERROR(MAXIFS(Pagos!$C:$C,Pagos!$A:$A,$A74,Pagos!$F:$F,"Pagado"),""))</f>
        <v/>
      </c>
      <c r="K74" s="8">
        <f>IF($A74="","",IFERROR(MINIFS(Pagos!$C:$C,Pagos!$A:$A,$A74,Pagos!$F:$F,"Programado"),""))</f>
        <v/>
      </c>
      <c r="L74" s="9">
        <f>IF($A74="","",IF($K74="","",$K74-TODAY()))</f>
        <v/>
      </c>
      <c r="M74" s="9">
        <f>IF($A74="","",IF($H74&lt;=0,"Liquidada",IF(AND($K74&lt;&gt;"",$K74&lt;TODAY()),"Vencida",IF($G74&gt;0,"Parcial","Pendiente"))))</f>
        <v/>
      </c>
      <c r="N74" s="3" t="n"/>
      <c r="O74" s="3" t="n"/>
    </row>
    <row r="75">
      <c r="A75" s="3" t="n"/>
      <c r="B75" s="4" t="n"/>
      <c r="C75" s="3" t="n"/>
      <c r="D75" s="3" t="n"/>
      <c r="E75" s="3" t="n"/>
      <c r="F75" s="5" t="n"/>
      <c r="G75" s="6">
        <f>IF($A75="","",SUMIFS(Pagos!$D:$D,Pagos!$A:$A,$A75,Pagos!$F:$F,"Pagado"))</f>
        <v/>
      </c>
      <c r="H75" s="6">
        <f>IF($A75="","",$F75-$G75)</f>
        <v/>
      </c>
      <c r="I75" s="7">
        <f>IF($A75="","",IF($F75=0,0,$G75/$F75))</f>
        <v/>
      </c>
      <c r="J75" s="8">
        <f>IF($A75="","",IFERROR(MAXIFS(Pagos!$C:$C,Pagos!$A:$A,$A75,Pagos!$F:$F,"Pagado"),""))</f>
        <v/>
      </c>
      <c r="K75" s="8">
        <f>IF($A75="","",IFERROR(MINIFS(Pagos!$C:$C,Pagos!$A:$A,$A75,Pagos!$F:$F,"Programado"),""))</f>
        <v/>
      </c>
      <c r="L75" s="9">
        <f>IF($A75="","",IF($K75="","",$K75-TODAY()))</f>
        <v/>
      </c>
      <c r="M75" s="9">
        <f>IF($A75="","",IF($H75&lt;=0,"Liquidada",IF(AND($K75&lt;&gt;"",$K75&lt;TODAY()),"Vencida",IF($G75&gt;0,"Parcial","Pendiente"))))</f>
        <v/>
      </c>
      <c r="N75" s="3" t="n"/>
      <c r="O75" s="3" t="n"/>
    </row>
    <row r="76">
      <c r="A76" s="3" t="n"/>
      <c r="B76" s="4" t="n"/>
      <c r="C76" s="3" t="n"/>
      <c r="D76" s="3" t="n"/>
      <c r="E76" s="3" t="n"/>
      <c r="F76" s="5" t="n"/>
      <c r="G76" s="6">
        <f>IF($A76="","",SUMIFS(Pagos!$D:$D,Pagos!$A:$A,$A76,Pagos!$F:$F,"Pagado"))</f>
        <v/>
      </c>
      <c r="H76" s="6">
        <f>IF($A76="","",$F76-$G76)</f>
        <v/>
      </c>
      <c r="I76" s="7">
        <f>IF($A76="","",IF($F76=0,0,$G76/$F76))</f>
        <v/>
      </c>
      <c r="J76" s="8">
        <f>IF($A76="","",IFERROR(MAXIFS(Pagos!$C:$C,Pagos!$A:$A,$A76,Pagos!$F:$F,"Pagado"),""))</f>
        <v/>
      </c>
      <c r="K76" s="8">
        <f>IF($A76="","",IFERROR(MINIFS(Pagos!$C:$C,Pagos!$A:$A,$A76,Pagos!$F:$F,"Programado"),""))</f>
        <v/>
      </c>
      <c r="L76" s="9">
        <f>IF($A76="","",IF($K76="","",$K76-TODAY()))</f>
        <v/>
      </c>
      <c r="M76" s="9">
        <f>IF($A76="","",IF($H76&lt;=0,"Liquidada",IF(AND($K76&lt;&gt;"",$K76&lt;TODAY()),"Vencida",IF($G76&gt;0,"Parcial","Pendiente"))))</f>
        <v/>
      </c>
      <c r="N76" s="3" t="n"/>
      <c r="O76" s="3" t="n"/>
    </row>
    <row r="77">
      <c r="A77" s="3" t="n"/>
      <c r="B77" s="4" t="n"/>
      <c r="C77" s="3" t="n"/>
      <c r="D77" s="3" t="n"/>
      <c r="E77" s="3" t="n"/>
      <c r="F77" s="5" t="n"/>
      <c r="G77" s="6">
        <f>IF($A77="","",SUMIFS(Pagos!$D:$D,Pagos!$A:$A,$A77,Pagos!$F:$F,"Pagado"))</f>
        <v/>
      </c>
      <c r="H77" s="6">
        <f>IF($A77="","",$F77-$G77)</f>
        <v/>
      </c>
      <c r="I77" s="7">
        <f>IF($A77="","",IF($F77=0,0,$G77/$F77))</f>
        <v/>
      </c>
      <c r="J77" s="8">
        <f>IF($A77="","",IFERROR(MAXIFS(Pagos!$C:$C,Pagos!$A:$A,$A77,Pagos!$F:$F,"Pagado"),""))</f>
        <v/>
      </c>
      <c r="K77" s="8">
        <f>IF($A77="","",IFERROR(MINIFS(Pagos!$C:$C,Pagos!$A:$A,$A77,Pagos!$F:$F,"Programado"),""))</f>
        <v/>
      </c>
      <c r="L77" s="9">
        <f>IF($A77="","",IF($K77="","",$K77-TODAY()))</f>
        <v/>
      </c>
      <c r="M77" s="9">
        <f>IF($A77="","",IF($H77&lt;=0,"Liquidada",IF(AND($K77&lt;&gt;"",$K77&lt;TODAY()),"Vencida",IF($G77&gt;0,"Parcial","Pendiente"))))</f>
        <v/>
      </c>
      <c r="N77" s="3" t="n"/>
      <c r="O77" s="3" t="n"/>
    </row>
    <row r="78">
      <c r="A78" s="3" t="n"/>
      <c r="B78" s="4" t="n"/>
      <c r="C78" s="3" t="n"/>
      <c r="D78" s="3" t="n"/>
      <c r="E78" s="3" t="n"/>
      <c r="F78" s="5" t="n"/>
      <c r="G78" s="6">
        <f>IF($A78="","",SUMIFS(Pagos!$D:$D,Pagos!$A:$A,$A78,Pagos!$F:$F,"Pagado"))</f>
        <v/>
      </c>
      <c r="H78" s="6">
        <f>IF($A78="","",$F78-$G78)</f>
        <v/>
      </c>
      <c r="I78" s="7">
        <f>IF($A78="","",IF($F78=0,0,$G78/$F78))</f>
        <v/>
      </c>
      <c r="J78" s="8">
        <f>IF($A78="","",IFERROR(MAXIFS(Pagos!$C:$C,Pagos!$A:$A,$A78,Pagos!$F:$F,"Pagado"),""))</f>
        <v/>
      </c>
      <c r="K78" s="8">
        <f>IF($A78="","",IFERROR(MINIFS(Pagos!$C:$C,Pagos!$A:$A,$A78,Pagos!$F:$F,"Programado"),""))</f>
        <v/>
      </c>
      <c r="L78" s="9">
        <f>IF($A78="","",IF($K78="","",$K78-TODAY()))</f>
        <v/>
      </c>
      <c r="M78" s="9">
        <f>IF($A78="","",IF($H78&lt;=0,"Liquidada",IF(AND($K78&lt;&gt;"",$K78&lt;TODAY()),"Vencida",IF($G78&gt;0,"Parcial","Pendiente"))))</f>
        <v/>
      </c>
      <c r="N78" s="3" t="n"/>
      <c r="O78" s="3" t="n"/>
    </row>
    <row r="79">
      <c r="A79" s="3" t="n"/>
      <c r="B79" s="4" t="n"/>
      <c r="C79" s="3" t="n"/>
      <c r="D79" s="3" t="n"/>
      <c r="E79" s="3" t="n"/>
      <c r="F79" s="5" t="n"/>
      <c r="G79" s="6">
        <f>IF($A79="","",SUMIFS(Pagos!$D:$D,Pagos!$A:$A,$A79,Pagos!$F:$F,"Pagado"))</f>
        <v/>
      </c>
      <c r="H79" s="6">
        <f>IF($A79="","",$F79-$G79)</f>
        <v/>
      </c>
      <c r="I79" s="7">
        <f>IF($A79="","",IF($F79=0,0,$G79/$F79))</f>
        <v/>
      </c>
      <c r="J79" s="8">
        <f>IF($A79="","",IFERROR(MAXIFS(Pagos!$C:$C,Pagos!$A:$A,$A79,Pagos!$F:$F,"Pagado"),""))</f>
        <v/>
      </c>
      <c r="K79" s="8">
        <f>IF($A79="","",IFERROR(MINIFS(Pagos!$C:$C,Pagos!$A:$A,$A79,Pagos!$F:$F,"Programado"),""))</f>
        <v/>
      </c>
      <c r="L79" s="9">
        <f>IF($A79="","",IF($K79="","",$K79-TODAY()))</f>
        <v/>
      </c>
      <c r="M79" s="9">
        <f>IF($A79="","",IF($H79&lt;=0,"Liquidada",IF(AND($K79&lt;&gt;"",$K79&lt;TODAY()),"Vencida",IF($G79&gt;0,"Parcial","Pendiente"))))</f>
        <v/>
      </c>
      <c r="N79" s="3" t="n"/>
      <c r="O79" s="3" t="n"/>
    </row>
    <row r="80">
      <c r="A80" s="3" t="n"/>
      <c r="B80" s="4" t="n"/>
      <c r="C80" s="3" t="n"/>
      <c r="D80" s="3" t="n"/>
      <c r="E80" s="3" t="n"/>
      <c r="F80" s="5" t="n"/>
      <c r="G80" s="6">
        <f>IF($A80="","",SUMIFS(Pagos!$D:$D,Pagos!$A:$A,$A80,Pagos!$F:$F,"Pagado"))</f>
        <v/>
      </c>
      <c r="H80" s="6">
        <f>IF($A80="","",$F80-$G80)</f>
        <v/>
      </c>
      <c r="I80" s="7">
        <f>IF($A80="","",IF($F80=0,0,$G80/$F80))</f>
        <v/>
      </c>
      <c r="J80" s="8">
        <f>IF($A80="","",IFERROR(MAXIFS(Pagos!$C:$C,Pagos!$A:$A,$A80,Pagos!$F:$F,"Pagado"),""))</f>
        <v/>
      </c>
      <c r="K80" s="8">
        <f>IF($A80="","",IFERROR(MINIFS(Pagos!$C:$C,Pagos!$A:$A,$A80,Pagos!$F:$F,"Programado"),""))</f>
        <v/>
      </c>
      <c r="L80" s="9">
        <f>IF($A80="","",IF($K80="","",$K80-TODAY()))</f>
        <v/>
      </c>
      <c r="M80" s="9">
        <f>IF($A80="","",IF($H80&lt;=0,"Liquidada",IF(AND($K80&lt;&gt;"",$K80&lt;TODAY()),"Vencida",IF($G80&gt;0,"Parcial","Pendiente"))))</f>
        <v/>
      </c>
      <c r="N80" s="3" t="n"/>
      <c r="O80" s="3" t="n"/>
    </row>
    <row r="81">
      <c r="A81" s="3" t="n"/>
      <c r="B81" s="4" t="n"/>
      <c r="C81" s="3" t="n"/>
      <c r="D81" s="3" t="n"/>
      <c r="E81" s="3" t="n"/>
      <c r="F81" s="5" t="n"/>
      <c r="G81" s="6">
        <f>IF($A81="","",SUMIFS(Pagos!$D:$D,Pagos!$A:$A,$A81,Pagos!$F:$F,"Pagado"))</f>
        <v/>
      </c>
      <c r="H81" s="6">
        <f>IF($A81="","",$F81-$G81)</f>
        <v/>
      </c>
      <c r="I81" s="7">
        <f>IF($A81="","",IF($F81=0,0,$G81/$F81))</f>
        <v/>
      </c>
      <c r="J81" s="8">
        <f>IF($A81="","",IFERROR(MAXIFS(Pagos!$C:$C,Pagos!$A:$A,$A81,Pagos!$F:$F,"Pagado"),""))</f>
        <v/>
      </c>
      <c r="K81" s="8">
        <f>IF($A81="","",IFERROR(MINIFS(Pagos!$C:$C,Pagos!$A:$A,$A81,Pagos!$F:$F,"Programado"),""))</f>
        <v/>
      </c>
      <c r="L81" s="9">
        <f>IF($A81="","",IF($K81="","",$K81-TODAY()))</f>
        <v/>
      </c>
      <c r="M81" s="9">
        <f>IF($A81="","",IF($H81&lt;=0,"Liquidada",IF(AND($K81&lt;&gt;"",$K81&lt;TODAY()),"Vencida",IF($G81&gt;0,"Parcial","Pendiente"))))</f>
        <v/>
      </c>
      <c r="N81" s="3" t="n"/>
      <c r="O81" s="3" t="n"/>
    </row>
    <row r="82">
      <c r="A82" s="3" t="n"/>
      <c r="B82" s="4" t="n"/>
      <c r="C82" s="3" t="n"/>
      <c r="D82" s="3" t="n"/>
      <c r="E82" s="3" t="n"/>
      <c r="F82" s="5" t="n"/>
      <c r="G82" s="6">
        <f>IF($A82="","",SUMIFS(Pagos!$D:$D,Pagos!$A:$A,$A82,Pagos!$F:$F,"Pagado"))</f>
        <v/>
      </c>
      <c r="H82" s="6">
        <f>IF($A82="","",$F82-$G82)</f>
        <v/>
      </c>
      <c r="I82" s="7">
        <f>IF($A82="","",IF($F82=0,0,$G82/$F82))</f>
        <v/>
      </c>
      <c r="J82" s="8">
        <f>IF($A82="","",IFERROR(MAXIFS(Pagos!$C:$C,Pagos!$A:$A,$A82,Pagos!$F:$F,"Pagado"),""))</f>
        <v/>
      </c>
      <c r="K82" s="8">
        <f>IF($A82="","",IFERROR(MINIFS(Pagos!$C:$C,Pagos!$A:$A,$A82,Pagos!$F:$F,"Programado"),""))</f>
        <v/>
      </c>
      <c r="L82" s="9">
        <f>IF($A82="","",IF($K82="","",$K82-TODAY()))</f>
        <v/>
      </c>
      <c r="M82" s="9">
        <f>IF($A82="","",IF($H82&lt;=0,"Liquidada",IF(AND($K82&lt;&gt;"",$K82&lt;TODAY()),"Vencida",IF($G82&gt;0,"Parcial","Pendiente"))))</f>
        <v/>
      </c>
      <c r="N82" s="3" t="n"/>
      <c r="O82" s="3" t="n"/>
    </row>
    <row r="83">
      <c r="A83" s="3" t="n"/>
      <c r="B83" s="4" t="n"/>
      <c r="C83" s="3" t="n"/>
      <c r="D83" s="3" t="n"/>
      <c r="E83" s="3" t="n"/>
      <c r="F83" s="5" t="n"/>
      <c r="G83" s="6">
        <f>IF($A83="","",SUMIFS(Pagos!$D:$D,Pagos!$A:$A,$A83,Pagos!$F:$F,"Pagado"))</f>
        <v/>
      </c>
      <c r="H83" s="6">
        <f>IF($A83="","",$F83-$G83)</f>
        <v/>
      </c>
      <c r="I83" s="7">
        <f>IF($A83="","",IF($F83=0,0,$G83/$F83))</f>
        <v/>
      </c>
      <c r="J83" s="8">
        <f>IF($A83="","",IFERROR(MAXIFS(Pagos!$C:$C,Pagos!$A:$A,$A83,Pagos!$F:$F,"Pagado"),""))</f>
        <v/>
      </c>
      <c r="K83" s="8">
        <f>IF($A83="","",IFERROR(MINIFS(Pagos!$C:$C,Pagos!$A:$A,$A83,Pagos!$F:$F,"Programado"),""))</f>
        <v/>
      </c>
      <c r="L83" s="9">
        <f>IF($A83="","",IF($K83="","",$K83-TODAY()))</f>
        <v/>
      </c>
      <c r="M83" s="9">
        <f>IF($A83="","",IF($H83&lt;=0,"Liquidada",IF(AND($K83&lt;&gt;"",$K83&lt;TODAY()),"Vencida",IF($G83&gt;0,"Parcial","Pendiente"))))</f>
        <v/>
      </c>
      <c r="N83" s="3" t="n"/>
      <c r="O83" s="3" t="n"/>
    </row>
    <row r="84">
      <c r="A84" s="3" t="n"/>
      <c r="B84" s="4" t="n"/>
      <c r="C84" s="3" t="n"/>
      <c r="D84" s="3" t="n"/>
      <c r="E84" s="3" t="n"/>
      <c r="F84" s="5" t="n"/>
      <c r="G84" s="6">
        <f>IF($A84="","",SUMIFS(Pagos!$D:$D,Pagos!$A:$A,$A84,Pagos!$F:$F,"Pagado"))</f>
        <v/>
      </c>
      <c r="H84" s="6">
        <f>IF($A84="","",$F84-$G84)</f>
        <v/>
      </c>
      <c r="I84" s="7">
        <f>IF($A84="","",IF($F84=0,0,$G84/$F84))</f>
        <v/>
      </c>
      <c r="J84" s="8">
        <f>IF($A84="","",IFERROR(MAXIFS(Pagos!$C:$C,Pagos!$A:$A,$A84,Pagos!$F:$F,"Pagado"),""))</f>
        <v/>
      </c>
      <c r="K84" s="8">
        <f>IF($A84="","",IFERROR(MINIFS(Pagos!$C:$C,Pagos!$A:$A,$A84,Pagos!$F:$F,"Programado"),""))</f>
        <v/>
      </c>
      <c r="L84" s="9">
        <f>IF($A84="","",IF($K84="","",$K84-TODAY()))</f>
        <v/>
      </c>
      <c r="M84" s="9">
        <f>IF($A84="","",IF($H84&lt;=0,"Liquidada",IF(AND($K84&lt;&gt;"",$K84&lt;TODAY()),"Vencida",IF($G84&gt;0,"Parcial","Pendiente"))))</f>
        <v/>
      </c>
      <c r="N84" s="3" t="n"/>
      <c r="O84" s="3" t="n"/>
    </row>
    <row r="85">
      <c r="A85" s="3" t="n"/>
      <c r="B85" s="4" t="n"/>
      <c r="C85" s="3" t="n"/>
      <c r="D85" s="3" t="n"/>
      <c r="E85" s="3" t="n"/>
      <c r="F85" s="5" t="n"/>
      <c r="G85" s="6">
        <f>IF($A85="","",SUMIFS(Pagos!$D:$D,Pagos!$A:$A,$A85,Pagos!$F:$F,"Pagado"))</f>
        <v/>
      </c>
      <c r="H85" s="6">
        <f>IF($A85="","",$F85-$G85)</f>
        <v/>
      </c>
      <c r="I85" s="7">
        <f>IF($A85="","",IF($F85=0,0,$G85/$F85))</f>
        <v/>
      </c>
      <c r="J85" s="8">
        <f>IF($A85="","",IFERROR(MAXIFS(Pagos!$C:$C,Pagos!$A:$A,$A85,Pagos!$F:$F,"Pagado"),""))</f>
        <v/>
      </c>
      <c r="K85" s="8">
        <f>IF($A85="","",IFERROR(MINIFS(Pagos!$C:$C,Pagos!$A:$A,$A85,Pagos!$F:$F,"Programado"),""))</f>
        <v/>
      </c>
      <c r="L85" s="9">
        <f>IF($A85="","",IF($K85="","",$K85-TODAY()))</f>
        <v/>
      </c>
      <c r="M85" s="9">
        <f>IF($A85="","",IF($H85&lt;=0,"Liquidada",IF(AND($K85&lt;&gt;"",$K85&lt;TODAY()),"Vencida",IF($G85&gt;0,"Parcial","Pendiente"))))</f>
        <v/>
      </c>
      <c r="N85" s="3" t="n"/>
      <c r="O85" s="3" t="n"/>
    </row>
    <row r="86">
      <c r="A86" s="3" t="n"/>
      <c r="B86" s="4" t="n"/>
      <c r="C86" s="3" t="n"/>
      <c r="D86" s="3" t="n"/>
      <c r="E86" s="3" t="n"/>
      <c r="F86" s="5" t="n"/>
      <c r="G86" s="6">
        <f>IF($A86="","",SUMIFS(Pagos!$D:$D,Pagos!$A:$A,$A86,Pagos!$F:$F,"Pagado"))</f>
        <v/>
      </c>
      <c r="H86" s="6">
        <f>IF($A86="","",$F86-$G86)</f>
        <v/>
      </c>
      <c r="I86" s="7">
        <f>IF($A86="","",IF($F86=0,0,$G86/$F86))</f>
        <v/>
      </c>
      <c r="J86" s="8">
        <f>IF($A86="","",IFERROR(MAXIFS(Pagos!$C:$C,Pagos!$A:$A,$A86,Pagos!$F:$F,"Pagado"),""))</f>
        <v/>
      </c>
      <c r="K86" s="8">
        <f>IF($A86="","",IFERROR(MINIFS(Pagos!$C:$C,Pagos!$A:$A,$A86,Pagos!$F:$F,"Programado"),""))</f>
        <v/>
      </c>
      <c r="L86" s="9">
        <f>IF($A86="","",IF($K86="","",$K86-TODAY()))</f>
        <v/>
      </c>
      <c r="M86" s="9">
        <f>IF($A86="","",IF($H86&lt;=0,"Liquidada",IF(AND($K86&lt;&gt;"",$K86&lt;TODAY()),"Vencida",IF($G86&gt;0,"Parcial","Pendiente"))))</f>
        <v/>
      </c>
      <c r="N86" s="3" t="n"/>
      <c r="O86" s="3" t="n"/>
    </row>
    <row r="87">
      <c r="A87" s="3" t="n"/>
      <c r="B87" s="4" t="n"/>
      <c r="C87" s="3" t="n"/>
      <c r="D87" s="3" t="n"/>
      <c r="E87" s="3" t="n"/>
      <c r="F87" s="5" t="n"/>
      <c r="G87" s="6">
        <f>IF($A87="","",SUMIFS(Pagos!$D:$D,Pagos!$A:$A,$A87,Pagos!$F:$F,"Pagado"))</f>
        <v/>
      </c>
      <c r="H87" s="6">
        <f>IF($A87="","",$F87-$G87)</f>
        <v/>
      </c>
      <c r="I87" s="7">
        <f>IF($A87="","",IF($F87=0,0,$G87/$F87))</f>
        <v/>
      </c>
      <c r="J87" s="8">
        <f>IF($A87="","",IFERROR(MAXIFS(Pagos!$C:$C,Pagos!$A:$A,$A87,Pagos!$F:$F,"Pagado"),""))</f>
        <v/>
      </c>
      <c r="K87" s="8">
        <f>IF($A87="","",IFERROR(MINIFS(Pagos!$C:$C,Pagos!$A:$A,$A87,Pagos!$F:$F,"Programado"),""))</f>
        <v/>
      </c>
      <c r="L87" s="9">
        <f>IF($A87="","",IF($K87="","",$K87-TODAY()))</f>
        <v/>
      </c>
      <c r="M87" s="9">
        <f>IF($A87="","",IF($H87&lt;=0,"Liquidada",IF(AND($K87&lt;&gt;"",$K87&lt;TODAY()),"Vencida",IF($G87&gt;0,"Parcial","Pendiente"))))</f>
        <v/>
      </c>
      <c r="N87" s="3" t="n"/>
      <c r="O87" s="3" t="n"/>
    </row>
    <row r="88">
      <c r="A88" s="3" t="n"/>
      <c r="B88" s="4" t="n"/>
      <c r="C88" s="3" t="n"/>
      <c r="D88" s="3" t="n"/>
      <c r="E88" s="3" t="n"/>
      <c r="F88" s="5" t="n"/>
      <c r="G88" s="6">
        <f>IF($A88="","",SUMIFS(Pagos!$D:$D,Pagos!$A:$A,$A88,Pagos!$F:$F,"Pagado"))</f>
        <v/>
      </c>
      <c r="H88" s="6">
        <f>IF($A88="","",$F88-$G88)</f>
        <v/>
      </c>
      <c r="I88" s="7">
        <f>IF($A88="","",IF($F88=0,0,$G88/$F88))</f>
        <v/>
      </c>
      <c r="J88" s="8">
        <f>IF($A88="","",IFERROR(MAXIFS(Pagos!$C:$C,Pagos!$A:$A,$A88,Pagos!$F:$F,"Pagado"),""))</f>
        <v/>
      </c>
      <c r="K88" s="8">
        <f>IF($A88="","",IFERROR(MINIFS(Pagos!$C:$C,Pagos!$A:$A,$A88,Pagos!$F:$F,"Programado"),""))</f>
        <v/>
      </c>
      <c r="L88" s="9">
        <f>IF($A88="","",IF($K88="","",$K88-TODAY()))</f>
        <v/>
      </c>
      <c r="M88" s="9">
        <f>IF($A88="","",IF($H88&lt;=0,"Liquidada",IF(AND($K88&lt;&gt;"",$K88&lt;TODAY()),"Vencida",IF($G88&gt;0,"Parcial","Pendiente"))))</f>
        <v/>
      </c>
      <c r="N88" s="3" t="n"/>
      <c r="O88" s="3" t="n"/>
    </row>
    <row r="89">
      <c r="A89" s="3" t="n"/>
      <c r="B89" s="4" t="n"/>
      <c r="C89" s="3" t="n"/>
      <c r="D89" s="3" t="n"/>
      <c r="E89" s="3" t="n"/>
      <c r="F89" s="5" t="n"/>
      <c r="G89" s="6">
        <f>IF($A89="","",SUMIFS(Pagos!$D:$D,Pagos!$A:$A,$A89,Pagos!$F:$F,"Pagado"))</f>
        <v/>
      </c>
      <c r="H89" s="6">
        <f>IF($A89="","",$F89-$G89)</f>
        <v/>
      </c>
      <c r="I89" s="7">
        <f>IF($A89="","",IF($F89=0,0,$G89/$F89))</f>
        <v/>
      </c>
      <c r="J89" s="8">
        <f>IF($A89="","",IFERROR(MAXIFS(Pagos!$C:$C,Pagos!$A:$A,$A89,Pagos!$F:$F,"Pagado"),""))</f>
        <v/>
      </c>
      <c r="K89" s="8">
        <f>IF($A89="","",IFERROR(MINIFS(Pagos!$C:$C,Pagos!$A:$A,$A89,Pagos!$F:$F,"Programado"),""))</f>
        <v/>
      </c>
      <c r="L89" s="9">
        <f>IF($A89="","",IF($K89="","",$K89-TODAY()))</f>
        <v/>
      </c>
      <c r="M89" s="9">
        <f>IF($A89="","",IF($H89&lt;=0,"Liquidada",IF(AND($K89&lt;&gt;"",$K89&lt;TODAY()),"Vencida",IF($G89&gt;0,"Parcial","Pendiente"))))</f>
        <v/>
      </c>
      <c r="N89" s="3" t="n"/>
      <c r="O89" s="3" t="n"/>
    </row>
    <row r="90">
      <c r="A90" s="3" t="n"/>
      <c r="B90" s="4" t="n"/>
      <c r="C90" s="3" t="n"/>
      <c r="D90" s="3" t="n"/>
      <c r="E90" s="3" t="n"/>
      <c r="F90" s="5" t="n"/>
      <c r="G90" s="6">
        <f>IF($A90="","",SUMIFS(Pagos!$D:$D,Pagos!$A:$A,$A90,Pagos!$F:$F,"Pagado"))</f>
        <v/>
      </c>
      <c r="H90" s="6">
        <f>IF($A90="","",$F90-$G90)</f>
        <v/>
      </c>
      <c r="I90" s="7">
        <f>IF($A90="","",IF($F90=0,0,$G90/$F90))</f>
        <v/>
      </c>
      <c r="J90" s="8">
        <f>IF($A90="","",IFERROR(MAXIFS(Pagos!$C:$C,Pagos!$A:$A,$A90,Pagos!$F:$F,"Pagado"),""))</f>
        <v/>
      </c>
      <c r="K90" s="8">
        <f>IF($A90="","",IFERROR(MINIFS(Pagos!$C:$C,Pagos!$A:$A,$A90,Pagos!$F:$F,"Programado"),""))</f>
        <v/>
      </c>
      <c r="L90" s="9">
        <f>IF($A90="","",IF($K90="","",$K90-TODAY()))</f>
        <v/>
      </c>
      <c r="M90" s="9">
        <f>IF($A90="","",IF($H90&lt;=0,"Liquidada",IF(AND($K90&lt;&gt;"",$K90&lt;TODAY()),"Vencida",IF($G90&gt;0,"Parcial","Pendiente"))))</f>
        <v/>
      </c>
      <c r="N90" s="3" t="n"/>
      <c r="O90" s="3" t="n"/>
    </row>
    <row r="91">
      <c r="A91" s="3" t="n"/>
      <c r="B91" s="4" t="n"/>
      <c r="C91" s="3" t="n"/>
      <c r="D91" s="3" t="n"/>
      <c r="E91" s="3" t="n"/>
      <c r="F91" s="5" t="n"/>
      <c r="G91" s="6">
        <f>IF($A91="","",SUMIFS(Pagos!$D:$D,Pagos!$A:$A,$A91,Pagos!$F:$F,"Pagado"))</f>
        <v/>
      </c>
      <c r="H91" s="6">
        <f>IF($A91="","",$F91-$G91)</f>
        <v/>
      </c>
      <c r="I91" s="7">
        <f>IF($A91="","",IF($F91=0,0,$G91/$F91))</f>
        <v/>
      </c>
      <c r="J91" s="8">
        <f>IF($A91="","",IFERROR(MAXIFS(Pagos!$C:$C,Pagos!$A:$A,$A91,Pagos!$F:$F,"Pagado"),""))</f>
        <v/>
      </c>
      <c r="K91" s="8">
        <f>IF($A91="","",IFERROR(MINIFS(Pagos!$C:$C,Pagos!$A:$A,$A91,Pagos!$F:$F,"Programado"),""))</f>
        <v/>
      </c>
      <c r="L91" s="9">
        <f>IF($A91="","",IF($K91="","",$K91-TODAY()))</f>
        <v/>
      </c>
      <c r="M91" s="9">
        <f>IF($A91="","",IF($H91&lt;=0,"Liquidada",IF(AND($K91&lt;&gt;"",$K91&lt;TODAY()),"Vencida",IF($G91&gt;0,"Parcial","Pendiente"))))</f>
        <v/>
      </c>
      <c r="N91" s="3" t="n"/>
      <c r="O91" s="3" t="n"/>
    </row>
    <row r="92">
      <c r="A92" s="3" t="n"/>
      <c r="B92" s="4" t="n"/>
      <c r="C92" s="3" t="n"/>
      <c r="D92" s="3" t="n"/>
      <c r="E92" s="3" t="n"/>
      <c r="F92" s="5" t="n"/>
      <c r="G92" s="6">
        <f>IF($A92="","",SUMIFS(Pagos!$D:$D,Pagos!$A:$A,$A92,Pagos!$F:$F,"Pagado"))</f>
        <v/>
      </c>
      <c r="H92" s="6">
        <f>IF($A92="","",$F92-$G92)</f>
        <v/>
      </c>
      <c r="I92" s="7">
        <f>IF($A92="","",IF($F92=0,0,$G92/$F92))</f>
        <v/>
      </c>
      <c r="J92" s="8">
        <f>IF($A92="","",IFERROR(MAXIFS(Pagos!$C:$C,Pagos!$A:$A,$A92,Pagos!$F:$F,"Pagado"),""))</f>
        <v/>
      </c>
      <c r="K92" s="8">
        <f>IF($A92="","",IFERROR(MINIFS(Pagos!$C:$C,Pagos!$A:$A,$A92,Pagos!$F:$F,"Programado"),""))</f>
        <v/>
      </c>
      <c r="L92" s="9">
        <f>IF($A92="","",IF($K92="","",$K92-TODAY()))</f>
        <v/>
      </c>
      <c r="M92" s="9">
        <f>IF($A92="","",IF($H92&lt;=0,"Liquidada",IF(AND($K92&lt;&gt;"",$K92&lt;TODAY()),"Vencida",IF($G92&gt;0,"Parcial","Pendiente"))))</f>
        <v/>
      </c>
      <c r="N92" s="3" t="n"/>
      <c r="O92" s="3" t="n"/>
    </row>
    <row r="93">
      <c r="A93" s="3" t="n"/>
      <c r="B93" s="4" t="n"/>
      <c r="C93" s="3" t="n"/>
      <c r="D93" s="3" t="n"/>
      <c r="E93" s="3" t="n"/>
      <c r="F93" s="5" t="n"/>
      <c r="G93" s="6">
        <f>IF($A93="","",SUMIFS(Pagos!$D:$D,Pagos!$A:$A,$A93,Pagos!$F:$F,"Pagado"))</f>
        <v/>
      </c>
      <c r="H93" s="6">
        <f>IF($A93="","",$F93-$G93)</f>
        <v/>
      </c>
      <c r="I93" s="7">
        <f>IF($A93="","",IF($F93=0,0,$G93/$F93))</f>
        <v/>
      </c>
      <c r="J93" s="8">
        <f>IF($A93="","",IFERROR(MAXIFS(Pagos!$C:$C,Pagos!$A:$A,$A93,Pagos!$F:$F,"Pagado"),""))</f>
        <v/>
      </c>
      <c r="K93" s="8">
        <f>IF($A93="","",IFERROR(MINIFS(Pagos!$C:$C,Pagos!$A:$A,$A93,Pagos!$F:$F,"Programado"),""))</f>
        <v/>
      </c>
      <c r="L93" s="9">
        <f>IF($A93="","",IF($K93="","",$K93-TODAY()))</f>
        <v/>
      </c>
      <c r="M93" s="9">
        <f>IF($A93="","",IF($H93&lt;=0,"Liquidada",IF(AND($K93&lt;&gt;"",$K93&lt;TODAY()),"Vencida",IF($G93&gt;0,"Parcial","Pendiente"))))</f>
        <v/>
      </c>
      <c r="N93" s="3" t="n"/>
      <c r="O93" s="3" t="n"/>
    </row>
    <row r="94">
      <c r="A94" s="3" t="n"/>
      <c r="B94" s="4" t="n"/>
      <c r="C94" s="3" t="n"/>
      <c r="D94" s="3" t="n"/>
      <c r="E94" s="3" t="n"/>
      <c r="F94" s="5" t="n"/>
      <c r="G94" s="6">
        <f>IF($A94="","",SUMIFS(Pagos!$D:$D,Pagos!$A:$A,$A94,Pagos!$F:$F,"Pagado"))</f>
        <v/>
      </c>
      <c r="H94" s="6">
        <f>IF($A94="","",$F94-$G94)</f>
        <v/>
      </c>
      <c r="I94" s="7">
        <f>IF($A94="","",IF($F94=0,0,$G94/$F94))</f>
        <v/>
      </c>
      <c r="J94" s="8">
        <f>IF($A94="","",IFERROR(MAXIFS(Pagos!$C:$C,Pagos!$A:$A,$A94,Pagos!$F:$F,"Pagado"),""))</f>
        <v/>
      </c>
      <c r="K94" s="8">
        <f>IF($A94="","",IFERROR(MINIFS(Pagos!$C:$C,Pagos!$A:$A,$A94,Pagos!$F:$F,"Programado"),""))</f>
        <v/>
      </c>
      <c r="L94" s="9">
        <f>IF($A94="","",IF($K94="","",$K94-TODAY()))</f>
        <v/>
      </c>
      <c r="M94" s="9">
        <f>IF($A94="","",IF($H94&lt;=0,"Liquidada",IF(AND($K94&lt;&gt;"",$K94&lt;TODAY()),"Vencida",IF($G94&gt;0,"Parcial","Pendiente"))))</f>
        <v/>
      </c>
      <c r="N94" s="3" t="n"/>
      <c r="O94" s="3" t="n"/>
    </row>
    <row r="95">
      <c r="A95" s="3" t="n"/>
      <c r="B95" s="4" t="n"/>
      <c r="C95" s="3" t="n"/>
      <c r="D95" s="3" t="n"/>
      <c r="E95" s="3" t="n"/>
      <c r="F95" s="5" t="n"/>
      <c r="G95" s="6">
        <f>IF($A95="","",SUMIFS(Pagos!$D:$D,Pagos!$A:$A,$A95,Pagos!$F:$F,"Pagado"))</f>
        <v/>
      </c>
      <c r="H95" s="6">
        <f>IF($A95="","",$F95-$G95)</f>
        <v/>
      </c>
      <c r="I95" s="7">
        <f>IF($A95="","",IF($F95=0,0,$G95/$F95))</f>
        <v/>
      </c>
      <c r="J95" s="8">
        <f>IF($A95="","",IFERROR(MAXIFS(Pagos!$C:$C,Pagos!$A:$A,$A95,Pagos!$F:$F,"Pagado"),""))</f>
        <v/>
      </c>
      <c r="K95" s="8">
        <f>IF($A95="","",IFERROR(MINIFS(Pagos!$C:$C,Pagos!$A:$A,$A95,Pagos!$F:$F,"Programado"),""))</f>
        <v/>
      </c>
      <c r="L95" s="9">
        <f>IF($A95="","",IF($K95="","",$K95-TODAY()))</f>
        <v/>
      </c>
      <c r="M95" s="9">
        <f>IF($A95="","",IF($H95&lt;=0,"Liquidada",IF(AND($K95&lt;&gt;"",$K95&lt;TODAY()),"Vencida",IF($G95&gt;0,"Parcial","Pendiente"))))</f>
        <v/>
      </c>
      <c r="N95" s="3" t="n"/>
      <c r="O95" s="3" t="n"/>
    </row>
    <row r="96">
      <c r="A96" s="3" t="n"/>
      <c r="B96" s="4" t="n"/>
      <c r="C96" s="3" t="n"/>
      <c r="D96" s="3" t="n"/>
      <c r="E96" s="3" t="n"/>
      <c r="F96" s="5" t="n"/>
      <c r="G96" s="6">
        <f>IF($A96="","",SUMIFS(Pagos!$D:$D,Pagos!$A:$A,$A96,Pagos!$F:$F,"Pagado"))</f>
        <v/>
      </c>
      <c r="H96" s="6">
        <f>IF($A96="","",$F96-$G96)</f>
        <v/>
      </c>
      <c r="I96" s="7">
        <f>IF($A96="","",IF($F96=0,0,$G96/$F96))</f>
        <v/>
      </c>
      <c r="J96" s="8">
        <f>IF($A96="","",IFERROR(MAXIFS(Pagos!$C:$C,Pagos!$A:$A,$A96,Pagos!$F:$F,"Pagado"),""))</f>
        <v/>
      </c>
      <c r="K96" s="8">
        <f>IF($A96="","",IFERROR(MINIFS(Pagos!$C:$C,Pagos!$A:$A,$A96,Pagos!$F:$F,"Programado"),""))</f>
        <v/>
      </c>
      <c r="L96" s="9">
        <f>IF($A96="","",IF($K96="","",$K96-TODAY()))</f>
        <v/>
      </c>
      <c r="M96" s="9">
        <f>IF($A96="","",IF($H96&lt;=0,"Liquidada",IF(AND($K96&lt;&gt;"",$K96&lt;TODAY()),"Vencida",IF($G96&gt;0,"Parcial","Pendiente"))))</f>
        <v/>
      </c>
      <c r="N96" s="3" t="n"/>
      <c r="O96" s="3" t="n"/>
    </row>
    <row r="97">
      <c r="A97" s="3" t="n"/>
      <c r="B97" s="4" t="n"/>
      <c r="C97" s="3" t="n"/>
      <c r="D97" s="3" t="n"/>
      <c r="E97" s="3" t="n"/>
      <c r="F97" s="5" t="n"/>
      <c r="G97" s="6">
        <f>IF($A97="","",SUMIFS(Pagos!$D:$D,Pagos!$A:$A,$A97,Pagos!$F:$F,"Pagado"))</f>
        <v/>
      </c>
      <c r="H97" s="6">
        <f>IF($A97="","",$F97-$G97)</f>
        <v/>
      </c>
      <c r="I97" s="7">
        <f>IF($A97="","",IF($F97=0,0,$G97/$F97))</f>
        <v/>
      </c>
      <c r="J97" s="8">
        <f>IF($A97="","",IFERROR(MAXIFS(Pagos!$C:$C,Pagos!$A:$A,$A97,Pagos!$F:$F,"Pagado"),""))</f>
        <v/>
      </c>
      <c r="K97" s="8">
        <f>IF($A97="","",IFERROR(MINIFS(Pagos!$C:$C,Pagos!$A:$A,$A97,Pagos!$F:$F,"Programado"),""))</f>
        <v/>
      </c>
      <c r="L97" s="9">
        <f>IF($A97="","",IF($K97="","",$K97-TODAY()))</f>
        <v/>
      </c>
      <c r="M97" s="9">
        <f>IF($A97="","",IF($H97&lt;=0,"Liquidada",IF(AND($K97&lt;&gt;"",$K97&lt;TODAY()),"Vencida",IF($G97&gt;0,"Parcial","Pendiente"))))</f>
        <v/>
      </c>
      <c r="N97" s="3" t="n"/>
      <c r="O97" s="3" t="n"/>
    </row>
    <row r="98">
      <c r="A98" s="3" t="n"/>
      <c r="B98" s="4" t="n"/>
      <c r="C98" s="3" t="n"/>
      <c r="D98" s="3" t="n"/>
      <c r="E98" s="3" t="n"/>
      <c r="F98" s="5" t="n"/>
      <c r="G98" s="6">
        <f>IF($A98="","",SUMIFS(Pagos!$D:$D,Pagos!$A:$A,$A98,Pagos!$F:$F,"Pagado"))</f>
        <v/>
      </c>
      <c r="H98" s="6">
        <f>IF($A98="","",$F98-$G98)</f>
        <v/>
      </c>
      <c r="I98" s="7">
        <f>IF($A98="","",IF($F98=0,0,$G98/$F98))</f>
        <v/>
      </c>
      <c r="J98" s="8">
        <f>IF($A98="","",IFERROR(MAXIFS(Pagos!$C:$C,Pagos!$A:$A,$A98,Pagos!$F:$F,"Pagado"),""))</f>
        <v/>
      </c>
      <c r="K98" s="8">
        <f>IF($A98="","",IFERROR(MINIFS(Pagos!$C:$C,Pagos!$A:$A,$A98,Pagos!$F:$F,"Programado"),""))</f>
        <v/>
      </c>
      <c r="L98" s="9">
        <f>IF($A98="","",IF($K98="","",$K98-TODAY()))</f>
        <v/>
      </c>
      <c r="M98" s="9">
        <f>IF($A98="","",IF($H98&lt;=0,"Liquidada",IF(AND($K98&lt;&gt;"",$K98&lt;TODAY()),"Vencida",IF($G98&gt;0,"Parcial","Pendiente"))))</f>
        <v/>
      </c>
      <c r="N98" s="3" t="n"/>
      <c r="O98" s="3" t="n"/>
    </row>
    <row r="99">
      <c r="A99" s="3" t="n"/>
      <c r="B99" s="4" t="n"/>
      <c r="C99" s="3" t="n"/>
      <c r="D99" s="3" t="n"/>
      <c r="E99" s="3" t="n"/>
      <c r="F99" s="5" t="n"/>
      <c r="G99" s="6">
        <f>IF($A99="","",SUMIFS(Pagos!$D:$D,Pagos!$A:$A,$A99,Pagos!$F:$F,"Pagado"))</f>
        <v/>
      </c>
      <c r="H99" s="6">
        <f>IF($A99="","",$F99-$G99)</f>
        <v/>
      </c>
      <c r="I99" s="7">
        <f>IF($A99="","",IF($F99=0,0,$G99/$F99))</f>
        <v/>
      </c>
      <c r="J99" s="8">
        <f>IF($A99="","",IFERROR(MAXIFS(Pagos!$C:$C,Pagos!$A:$A,$A99,Pagos!$F:$F,"Pagado"),""))</f>
        <v/>
      </c>
      <c r="K99" s="8">
        <f>IF($A99="","",IFERROR(MINIFS(Pagos!$C:$C,Pagos!$A:$A,$A99,Pagos!$F:$F,"Programado"),""))</f>
        <v/>
      </c>
      <c r="L99" s="9">
        <f>IF($A99="","",IF($K99="","",$K99-TODAY()))</f>
        <v/>
      </c>
      <c r="M99" s="9">
        <f>IF($A99="","",IF($H99&lt;=0,"Liquidada",IF(AND($K99&lt;&gt;"",$K99&lt;TODAY()),"Vencida",IF($G99&gt;0,"Parcial","Pendiente"))))</f>
        <v/>
      </c>
      <c r="N99" s="3" t="n"/>
      <c r="O99" s="3" t="n"/>
    </row>
    <row r="100">
      <c r="A100" s="3" t="n"/>
      <c r="B100" s="4" t="n"/>
      <c r="C100" s="3" t="n"/>
      <c r="D100" s="3" t="n"/>
      <c r="E100" s="3" t="n"/>
      <c r="F100" s="5" t="n"/>
      <c r="G100" s="6">
        <f>IF($A100="","",SUMIFS(Pagos!$D:$D,Pagos!$A:$A,$A100,Pagos!$F:$F,"Pagado"))</f>
        <v/>
      </c>
      <c r="H100" s="6">
        <f>IF($A100="","",$F100-$G100)</f>
        <v/>
      </c>
      <c r="I100" s="7">
        <f>IF($A100="","",IF($F100=0,0,$G100/$F100))</f>
        <v/>
      </c>
      <c r="J100" s="8">
        <f>IF($A100="","",IFERROR(MAXIFS(Pagos!$C:$C,Pagos!$A:$A,$A100,Pagos!$F:$F,"Pagado"),""))</f>
        <v/>
      </c>
      <c r="K100" s="8">
        <f>IF($A100="","",IFERROR(MINIFS(Pagos!$C:$C,Pagos!$A:$A,$A100,Pagos!$F:$F,"Programado"),""))</f>
        <v/>
      </c>
      <c r="L100" s="9">
        <f>IF($A100="","",IF($K100="","",$K100-TODAY()))</f>
        <v/>
      </c>
      <c r="M100" s="9">
        <f>IF($A100="","",IF($H100&lt;=0,"Liquidada",IF(AND($K100&lt;&gt;"",$K100&lt;TODAY()),"Vencida",IF($G100&gt;0,"Parcial","Pendiente"))))</f>
        <v/>
      </c>
      <c r="N100" s="3" t="n"/>
      <c r="O100" s="3" t="n"/>
    </row>
    <row r="101">
      <c r="A101" s="3" t="n"/>
      <c r="B101" s="4" t="n"/>
      <c r="C101" s="3" t="n"/>
      <c r="D101" s="3" t="n"/>
      <c r="E101" s="3" t="n"/>
      <c r="F101" s="5" t="n"/>
      <c r="G101" s="6">
        <f>IF($A101="","",SUMIFS(Pagos!$D:$D,Pagos!$A:$A,$A101,Pagos!$F:$F,"Pagado"))</f>
        <v/>
      </c>
      <c r="H101" s="6">
        <f>IF($A101="","",$F101-$G101)</f>
        <v/>
      </c>
      <c r="I101" s="7">
        <f>IF($A101="","",IF($F101=0,0,$G101/$F101))</f>
        <v/>
      </c>
      <c r="J101" s="8">
        <f>IF($A101="","",IFERROR(MAXIFS(Pagos!$C:$C,Pagos!$A:$A,$A101,Pagos!$F:$F,"Pagado"),""))</f>
        <v/>
      </c>
      <c r="K101" s="8">
        <f>IF($A101="","",IFERROR(MINIFS(Pagos!$C:$C,Pagos!$A:$A,$A101,Pagos!$F:$F,"Programado"),""))</f>
        <v/>
      </c>
      <c r="L101" s="9">
        <f>IF($A101="","",IF($K101="","",$K101-TODAY()))</f>
        <v/>
      </c>
      <c r="M101" s="9">
        <f>IF($A101="","",IF($H101&lt;=0,"Liquidada",IF(AND($K101&lt;&gt;"",$K101&lt;TODAY()),"Vencida",IF($G101&gt;0,"Parcial","Pendiente"))))</f>
        <v/>
      </c>
      <c r="N101" s="3" t="n"/>
      <c r="O101" s="3" t="n"/>
    </row>
    <row r="102">
      <c r="A102" s="3" t="n"/>
      <c r="B102" s="4" t="n"/>
      <c r="C102" s="3" t="n"/>
      <c r="D102" s="3" t="n"/>
      <c r="E102" s="3" t="n"/>
      <c r="F102" s="5" t="n"/>
      <c r="G102" s="6">
        <f>IF($A102="","",SUMIFS(Pagos!$D:$D,Pagos!$A:$A,$A102,Pagos!$F:$F,"Pagado"))</f>
        <v/>
      </c>
      <c r="H102" s="6">
        <f>IF($A102="","",$F102-$G102)</f>
        <v/>
      </c>
      <c r="I102" s="7">
        <f>IF($A102="","",IF($F102=0,0,$G102/$F102))</f>
        <v/>
      </c>
      <c r="J102" s="8">
        <f>IF($A102="","",IFERROR(MAXIFS(Pagos!$C:$C,Pagos!$A:$A,$A102,Pagos!$F:$F,"Pagado"),""))</f>
        <v/>
      </c>
      <c r="K102" s="8">
        <f>IF($A102="","",IFERROR(MINIFS(Pagos!$C:$C,Pagos!$A:$A,$A102,Pagos!$F:$F,"Programado"),""))</f>
        <v/>
      </c>
      <c r="L102" s="9">
        <f>IF($A102="","",IF($K102="","",$K102-TODAY()))</f>
        <v/>
      </c>
      <c r="M102" s="9">
        <f>IF($A102="","",IF($H102&lt;=0,"Liquidada",IF(AND($K102&lt;&gt;"",$K102&lt;TODAY()),"Vencida",IF($G102&gt;0,"Parcial","Pendiente"))))</f>
        <v/>
      </c>
      <c r="N102" s="3" t="n"/>
      <c r="O102" s="3" t="n"/>
    </row>
    <row r="103">
      <c r="A103" s="3" t="n"/>
      <c r="B103" s="4" t="n"/>
      <c r="C103" s="3" t="n"/>
      <c r="D103" s="3" t="n"/>
      <c r="E103" s="3" t="n"/>
      <c r="F103" s="5" t="n"/>
      <c r="G103" s="6">
        <f>IF($A103="","",SUMIFS(Pagos!$D:$D,Pagos!$A:$A,$A103,Pagos!$F:$F,"Pagado"))</f>
        <v/>
      </c>
      <c r="H103" s="6">
        <f>IF($A103="","",$F103-$G103)</f>
        <v/>
      </c>
      <c r="I103" s="7">
        <f>IF($A103="","",IF($F103=0,0,$G103/$F103))</f>
        <v/>
      </c>
      <c r="J103" s="8">
        <f>IF($A103="","",IFERROR(MAXIFS(Pagos!$C:$C,Pagos!$A:$A,$A103,Pagos!$F:$F,"Pagado"),""))</f>
        <v/>
      </c>
      <c r="K103" s="8">
        <f>IF($A103="","",IFERROR(MINIFS(Pagos!$C:$C,Pagos!$A:$A,$A103,Pagos!$F:$F,"Programado"),""))</f>
        <v/>
      </c>
      <c r="L103" s="9">
        <f>IF($A103="","",IF($K103="","",$K103-TODAY()))</f>
        <v/>
      </c>
      <c r="M103" s="9">
        <f>IF($A103="","",IF($H103&lt;=0,"Liquidada",IF(AND($K103&lt;&gt;"",$K103&lt;TODAY()),"Vencida",IF($G103&gt;0,"Parcial","Pendiente"))))</f>
        <v/>
      </c>
      <c r="N103" s="3" t="n"/>
      <c r="O103" s="3" t="n"/>
    </row>
    <row r="104">
      <c r="A104" s="3" t="n"/>
      <c r="B104" s="4" t="n"/>
      <c r="C104" s="3" t="n"/>
      <c r="D104" s="3" t="n"/>
      <c r="E104" s="3" t="n"/>
      <c r="F104" s="5" t="n"/>
      <c r="G104" s="6">
        <f>IF($A104="","",SUMIFS(Pagos!$D:$D,Pagos!$A:$A,$A104,Pagos!$F:$F,"Pagado"))</f>
        <v/>
      </c>
      <c r="H104" s="6">
        <f>IF($A104="","",$F104-$G104)</f>
        <v/>
      </c>
      <c r="I104" s="7">
        <f>IF($A104="","",IF($F104=0,0,$G104/$F104))</f>
        <v/>
      </c>
      <c r="J104" s="8">
        <f>IF($A104="","",IFERROR(MAXIFS(Pagos!$C:$C,Pagos!$A:$A,$A104,Pagos!$F:$F,"Pagado"),""))</f>
        <v/>
      </c>
      <c r="K104" s="8">
        <f>IF($A104="","",IFERROR(MINIFS(Pagos!$C:$C,Pagos!$A:$A,$A104,Pagos!$F:$F,"Programado"),""))</f>
        <v/>
      </c>
      <c r="L104" s="9">
        <f>IF($A104="","",IF($K104="","",$K104-TODAY()))</f>
        <v/>
      </c>
      <c r="M104" s="9">
        <f>IF($A104="","",IF($H104&lt;=0,"Liquidada",IF(AND($K104&lt;&gt;"",$K104&lt;TODAY()),"Vencida",IF($G104&gt;0,"Parcial","Pendiente"))))</f>
        <v/>
      </c>
      <c r="N104" s="3" t="n"/>
      <c r="O104" s="3" t="n"/>
    </row>
    <row r="105">
      <c r="A105" s="3" t="n"/>
      <c r="B105" s="4" t="n"/>
      <c r="C105" s="3" t="n"/>
      <c r="D105" s="3" t="n"/>
      <c r="E105" s="3" t="n"/>
      <c r="F105" s="5" t="n"/>
      <c r="G105" s="6">
        <f>IF($A105="","",SUMIFS(Pagos!$D:$D,Pagos!$A:$A,$A105,Pagos!$F:$F,"Pagado"))</f>
        <v/>
      </c>
      <c r="H105" s="6">
        <f>IF($A105="","",$F105-$G105)</f>
        <v/>
      </c>
      <c r="I105" s="7">
        <f>IF($A105="","",IF($F105=0,0,$G105/$F105))</f>
        <v/>
      </c>
      <c r="J105" s="8">
        <f>IF($A105="","",IFERROR(MAXIFS(Pagos!$C:$C,Pagos!$A:$A,$A105,Pagos!$F:$F,"Pagado"),""))</f>
        <v/>
      </c>
      <c r="K105" s="8">
        <f>IF($A105="","",IFERROR(MINIFS(Pagos!$C:$C,Pagos!$A:$A,$A105,Pagos!$F:$F,"Programado"),""))</f>
        <v/>
      </c>
      <c r="L105" s="9">
        <f>IF($A105="","",IF($K105="","",$K105-TODAY()))</f>
        <v/>
      </c>
      <c r="M105" s="9">
        <f>IF($A105="","",IF($H105&lt;=0,"Liquidada",IF(AND($K105&lt;&gt;"",$K105&lt;TODAY()),"Vencida",IF($G105&gt;0,"Parcial","Pendiente"))))</f>
        <v/>
      </c>
      <c r="N105" s="3" t="n"/>
      <c r="O105" s="3" t="n"/>
    </row>
    <row r="106">
      <c r="A106" s="3" t="n"/>
      <c r="B106" s="4" t="n"/>
      <c r="C106" s="3" t="n"/>
      <c r="D106" s="3" t="n"/>
      <c r="E106" s="3" t="n"/>
      <c r="F106" s="5" t="n"/>
      <c r="G106" s="6">
        <f>IF($A106="","",SUMIFS(Pagos!$D:$D,Pagos!$A:$A,$A106,Pagos!$F:$F,"Pagado"))</f>
        <v/>
      </c>
      <c r="H106" s="6">
        <f>IF($A106="","",$F106-$G106)</f>
        <v/>
      </c>
      <c r="I106" s="7">
        <f>IF($A106="","",IF($F106=0,0,$G106/$F106))</f>
        <v/>
      </c>
      <c r="J106" s="8">
        <f>IF($A106="","",IFERROR(MAXIFS(Pagos!$C:$C,Pagos!$A:$A,$A106,Pagos!$F:$F,"Pagado"),""))</f>
        <v/>
      </c>
      <c r="K106" s="8">
        <f>IF($A106="","",IFERROR(MINIFS(Pagos!$C:$C,Pagos!$A:$A,$A106,Pagos!$F:$F,"Programado"),""))</f>
        <v/>
      </c>
      <c r="L106" s="9">
        <f>IF($A106="","",IF($K106="","",$K106-TODAY()))</f>
        <v/>
      </c>
      <c r="M106" s="9">
        <f>IF($A106="","",IF($H106&lt;=0,"Liquidada",IF(AND($K106&lt;&gt;"",$K106&lt;TODAY()),"Vencida",IF($G106&gt;0,"Parcial","Pendiente"))))</f>
        <v/>
      </c>
      <c r="N106" s="3" t="n"/>
      <c r="O106" s="3" t="n"/>
    </row>
    <row r="107">
      <c r="A107" s="3" t="n"/>
      <c r="B107" s="4" t="n"/>
      <c r="C107" s="3" t="n"/>
      <c r="D107" s="3" t="n"/>
      <c r="E107" s="3" t="n"/>
      <c r="F107" s="5" t="n"/>
      <c r="G107" s="6">
        <f>IF($A107="","",SUMIFS(Pagos!$D:$D,Pagos!$A:$A,$A107,Pagos!$F:$F,"Pagado"))</f>
        <v/>
      </c>
      <c r="H107" s="6">
        <f>IF($A107="","",$F107-$G107)</f>
        <v/>
      </c>
      <c r="I107" s="7">
        <f>IF($A107="","",IF($F107=0,0,$G107/$F107))</f>
        <v/>
      </c>
      <c r="J107" s="8">
        <f>IF($A107="","",IFERROR(MAXIFS(Pagos!$C:$C,Pagos!$A:$A,$A107,Pagos!$F:$F,"Pagado"),""))</f>
        <v/>
      </c>
      <c r="K107" s="8">
        <f>IF($A107="","",IFERROR(MINIFS(Pagos!$C:$C,Pagos!$A:$A,$A107,Pagos!$F:$F,"Programado"),""))</f>
        <v/>
      </c>
      <c r="L107" s="9">
        <f>IF($A107="","",IF($K107="","",$K107-TODAY()))</f>
        <v/>
      </c>
      <c r="M107" s="9">
        <f>IF($A107="","",IF($H107&lt;=0,"Liquidada",IF(AND($K107&lt;&gt;"",$K107&lt;TODAY()),"Vencida",IF($G107&gt;0,"Parcial","Pendiente"))))</f>
        <v/>
      </c>
      <c r="N107" s="3" t="n"/>
      <c r="O107" s="3" t="n"/>
    </row>
    <row r="108">
      <c r="A108" s="3" t="n"/>
      <c r="B108" s="4" t="n"/>
      <c r="C108" s="3" t="n"/>
      <c r="D108" s="3" t="n"/>
      <c r="E108" s="3" t="n"/>
      <c r="F108" s="5" t="n"/>
      <c r="G108" s="6">
        <f>IF($A108="","",SUMIFS(Pagos!$D:$D,Pagos!$A:$A,$A108,Pagos!$F:$F,"Pagado"))</f>
        <v/>
      </c>
      <c r="H108" s="6">
        <f>IF($A108="","",$F108-$G108)</f>
        <v/>
      </c>
      <c r="I108" s="7">
        <f>IF($A108="","",IF($F108=0,0,$G108/$F108))</f>
        <v/>
      </c>
      <c r="J108" s="8">
        <f>IF($A108="","",IFERROR(MAXIFS(Pagos!$C:$C,Pagos!$A:$A,$A108,Pagos!$F:$F,"Pagado"),""))</f>
        <v/>
      </c>
      <c r="K108" s="8">
        <f>IF($A108="","",IFERROR(MINIFS(Pagos!$C:$C,Pagos!$A:$A,$A108,Pagos!$F:$F,"Programado"),""))</f>
        <v/>
      </c>
      <c r="L108" s="9">
        <f>IF($A108="","",IF($K108="","",$K108-TODAY()))</f>
        <v/>
      </c>
      <c r="M108" s="9">
        <f>IF($A108="","",IF($H108&lt;=0,"Liquidada",IF(AND($K108&lt;&gt;"",$K108&lt;TODAY()),"Vencida",IF($G108&gt;0,"Parcial","Pendiente"))))</f>
        <v/>
      </c>
      <c r="N108" s="3" t="n"/>
      <c r="O108" s="3" t="n"/>
    </row>
    <row r="109">
      <c r="A109" s="3" t="n"/>
      <c r="B109" s="4" t="n"/>
      <c r="C109" s="3" t="n"/>
      <c r="D109" s="3" t="n"/>
      <c r="E109" s="3" t="n"/>
      <c r="F109" s="5" t="n"/>
      <c r="G109" s="6">
        <f>IF($A109="","",SUMIFS(Pagos!$D:$D,Pagos!$A:$A,$A109,Pagos!$F:$F,"Pagado"))</f>
        <v/>
      </c>
      <c r="H109" s="6">
        <f>IF($A109="","",$F109-$G109)</f>
        <v/>
      </c>
      <c r="I109" s="7">
        <f>IF($A109="","",IF($F109=0,0,$G109/$F109))</f>
        <v/>
      </c>
      <c r="J109" s="8">
        <f>IF($A109="","",IFERROR(MAXIFS(Pagos!$C:$C,Pagos!$A:$A,$A109,Pagos!$F:$F,"Pagado"),""))</f>
        <v/>
      </c>
      <c r="K109" s="8">
        <f>IF($A109="","",IFERROR(MINIFS(Pagos!$C:$C,Pagos!$A:$A,$A109,Pagos!$F:$F,"Programado"),""))</f>
        <v/>
      </c>
      <c r="L109" s="9">
        <f>IF($A109="","",IF($K109="","",$K109-TODAY()))</f>
        <v/>
      </c>
      <c r="M109" s="9">
        <f>IF($A109="","",IF($H109&lt;=0,"Liquidada",IF(AND($K109&lt;&gt;"",$K109&lt;TODAY()),"Vencida",IF($G109&gt;0,"Parcial","Pendiente"))))</f>
        <v/>
      </c>
      <c r="N109" s="3" t="n"/>
      <c r="O109" s="3" t="n"/>
    </row>
    <row r="110">
      <c r="A110" s="3" t="n"/>
      <c r="B110" s="4" t="n"/>
      <c r="C110" s="3" t="n"/>
      <c r="D110" s="3" t="n"/>
      <c r="E110" s="3" t="n"/>
      <c r="F110" s="5" t="n"/>
      <c r="G110" s="6">
        <f>IF($A110="","",SUMIFS(Pagos!$D:$D,Pagos!$A:$A,$A110,Pagos!$F:$F,"Pagado"))</f>
        <v/>
      </c>
      <c r="H110" s="6">
        <f>IF($A110="","",$F110-$G110)</f>
        <v/>
      </c>
      <c r="I110" s="7">
        <f>IF($A110="","",IF($F110=0,0,$G110/$F110))</f>
        <v/>
      </c>
      <c r="J110" s="8">
        <f>IF($A110="","",IFERROR(MAXIFS(Pagos!$C:$C,Pagos!$A:$A,$A110,Pagos!$F:$F,"Pagado"),""))</f>
        <v/>
      </c>
      <c r="K110" s="8">
        <f>IF($A110="","",IFERROR(MINIFS(Pagos!$C:$C,Pagos!$A:$A,$A110,Pagos!$F:$F,"Programado"),""))</f>
        <v/>
      </c>
      <c r="L110" s="9">
        <f>IF($A110="","",IF($K110="","",$K110-TODAY()))</f>
        <v/>
      </c>
      <c r="M110" s="9">
        <f>IF($A110="","",IF($H110&lt;=0,"Liquidada",IF(AND($K110&lt;&gt;"",$K110&lt;TODAY()),"Vencida",IF($G110&gt;0,"Parcial","Pendiente"))))</f>
        <v/>
      </c>
      <c r="N110" s="3" t="n"/>
      <c r="O110" s="3" t="n"/>
    </row>
    <row r="111">
      <c r="A111" s="3" t="n"/>
      <c r="B111" s="4" t="n"/>
      <c r="C111" s="3" t="n"/>
      <c r="D111" s="3" t="n"/>
      <c r="E111" s="3" t="n"/>
      <c r="F111" s="5" t="n"/>
      <c r="G111" s="6">
        <f>IF($A111="","",SUMIFS(Pagos!$D:$D,Pagos!$A:$A,$A111,Pagos!$F:$F,"Pagado"))</f>
        <v/>
      </c>
      <c r="H111" s="6">
        <f>IF($A111="","",$F111-$G111)</f>
        <v/>
      </c>
      <c r="I111" s="7">
        <f>IF($A111="","",IF($F111=0,0,$G111/$F111))</f>
        <v/>
      </c>
      <c r="J111" s="8">
        <f>IF($A111="","",IFERROR(MAXIFS(Pagos!$C:$C,Pagos!$A:$A,$A111,Pagos!$F:$F,"Pagado"),""))</f>
        <v/>
      </c>
      <c r="K111" s="8">
        <f>IF($A111="","",IFERROR(MINIFS(Pagos!$C:$C,Pagos!$A:$A,$A111,Pagos!$F:$F,"Programado"),""))</f>
        <v/>
      </c>
      <c r="L111" s="9">
        <f>IF($A111="","",IF($K111="","",$K111-TODAY()))</f>
        <v/>
      </c>
      <c r="M111" s="9">
        <f>IF($A111="","",IF($H111&lt;=0,"Liquidada",IF(AND($K111&lt;&gt;"",$K111&lt;TODAY()),"Vencida",IF($G111&gt;0,"Parcial","Pendiente"))))</f>
        <v/>
      </c>
      <c r="N111" s="3" t="n"/>
      <c r="O111" s="3" t="n"/>
    </row>
    <row r="112">
      <c r="A112" s="3" t="n"/>
      <c r="B112" s="4" t="n"/>
      <c r="C112" s="3" t="n"/>
      <c r="D112" s="3" t="n"/>
      <c r="E112" s="3" t="n"/>
      <c r="F112" s="5" t="n"/>
      <c r="G112" s="6">
        <f>IF($A112="","",SUMIFS(Pagos!$D:$D,Pagos!$A:$A,$A112,Pagos!$F:$F,"Pagado"))</f>
        <v/>
      </c>
      <c r="H112" s="6">
        <f>IF($A112="","",$F112-$G112)</f>
        <v/>
      </c>
      <c r="I112" s="7">
        <f>IF($A112="","",IF($F112=0,0,$G112/$F112))</f>
        <v/>
      </c>
      <c r="J112" s="8">
        <f>IF($A112="","",IFERROR(MAXIFS(Pagos!$C:$C,Pagos!$A:$A,$A112,Pagos!$F:$F,"Pagado"),""))</f>
        <v/>
      </c>
      <c r="K112" s="8">
        <f>IF($A112="","",IFERROR(MINIFS(Pagos!$C:$C,Pagos!$A:$A,$A112,Pagos!$F:$F,"Programado"),""))</f>
        <v/>
      </c>
      <c r="L112" s="9">
        <f>IF($A112="","",IF($K112="","",$K112-TODAY()))</f>
        <v/>
      </c>
      <c r="M112" s="9">
        <f>IF($A112="","",IF($H112&lt;=0,"Liquidada",IF(AND($K112&lt;&gt;"",$K112&lt;TODAY()),"Vencida",IF($G112&gt;0,"Parcial","Pendiente"))))</f>
        <v/>
      </c>
      <c r="N112" s="3" t="n"/>
      <c r="O112" s="3" t="n"/>
    </row>
    <row r="113">
      <c r="A113" s="3" t="n"/>
      <c r="B113" s="4" t="n"/>
      <c r="C113" s="3" t="n"/>
      <c r="D113" s="3" t="n"/>
      <c r="E113" s="3" t="n"/>
      <c r="F113" s="5" t="n"/>
      <c r="G113" s="6">
        <f>IF($A113="","",SUMIFS(Pagos!$D:$D,Pagos!$A:$A,$A113,Pagos!$F:$F,"Pagado"))</f>
        <v/>
      </c>
      <c r="H113" s="6">
        <f>IF($A113="","",$F113-$G113)</f>
        <v/>
      </c>
      <c r="I113" s="7">
        <f>IF($A113="","",IF($F113=0,0,$G113/$F113))</f>
        <v/>
      </c>
      <c r="J113" s="8">
        <f>IF($A113="","",IFERROR(MAXIFS(Pagos!$C:$C,Pagos!$A:$A,$A113,Pagos!$F:$F,"Pagado"),""))</f>
        <v/>
      </c>
      <c r="K113" s="8">
        <f>IF($A113="","",IFERROR(MINIFS(Pagos!$C:$C,Pagos!$A:$A,$A113,Pagos!$F:$F,"Programado"),""))</f>
        <v/>
      </c>
      <c r="L113" s="9">
        <f>IF($A113="","",IF($K113="","",$K113-TODAY()))</f>
        <v/>
      </c>
      <c r="M113" s="9">
        <f>IF($A113="","",IF($H113&lt;=0,"Liquidada",IF(AND($K113&lt;&gt;"",$K113&lt;TODAY()),"Vencida",IF($G113&gt;0,"Parcial","Pendiente"))))</f>
        <v/>
      </c>
      <c r="N113" s="3" t="n"/>
      <c r="O113" s="3" t="n"/>
    </row>
    <row r="114">
      <c r="A114" s="3" t="n"/>
      <c r="B114" s="4" t="n"/>
      <c r="C114" s="3" t="n"/>
      <c r="D114" s="3" t="n"/>
      <c r="E114" s="3" t="n"/>
      <c r="F114" s="5" t="n"/>
      <c r="G114" s="6">
        <f>IF($A114="","",SUMIFS(Pagos!$D:$D,Pagos!$A:$A,$A114,Pagos!$F:$F,"Pagado"))</f>
        <v/>
      </c>
      <c r="H114" s="6">
        <f>IF($A114="","",$F114-$G114)</f>
        <v/>
      </c>
      <c r="I114" s="7">
        <f>IF($A114="","",IF($F114=0,0,$G114/$F114))</f>
        <v/>
      </c>
      <c r="J114" s="8">
        <f>IF($A114="","",IFERROR(MAXIFS(Pagos!$C:$C,Pagos!$A:$A,$A114,Pagos!$F:$F,"Pagado"),""))</f>
        <v/>
      </c>
      <c r="K114" s="8">
        <f>IF($A114="","",IFERROR(MINIFS(Pagos!$C:$C,Pagos!$A:$A,$A114,Pagos!$F:$F,"Programado"),""))</f>
        <v/>
      </c>
      <c r="L114" s="9">
        <f>IF($A114="","",IF($K114="","",$K114-TODAY()))</f>
        <v/>
      </c>
      <c r="M114" s="9">
        <f>IF($A114="","",IF($H114&lt;=0,"Liquidada",IF(AND($K114&lt;&gt;"",$K114&lt;TODAY()),"Vencida",IF($G114&gt;0,"Parcial","Pendiente"))))</f>
        <v/>
      </c>
      <c r="N114" s="3" t="n"/>
      <c r="O114" s="3" t="n"/>
    </row>
    <row r="115">
      <c r="A115" s="3" t="n"/>
      <c r="B115" s="4" t="n"/>
      <c r="C115" s="3" t="n"/>
      <c r="D115" s="3" t="n"/>
      <c r="E115" s="3" t="n"/>
      <c r="F115" s="5" t="n"/>
      <c r="G115" s="6">
        <f>IF($A115="","",SUMIFS(Pagos!$D:$D,Pagos!$A:$A,$A115,Pagos!$F:$F,"Pagado"))</f>
        <v/>
      </c>
      <c r="H115" s="6">
        <f>IF($A115="","",$F115-$G115)</f>
        <v/>
      </c>
      <c r="I115" s="7">
        <f>IF($A115="","",IF($F115=0,0,$G115/$F115))</f>
        <v/>
      </c>
      <c r="J115" s="8">
        <f>IF($A115="","",IFERROR(MAXIFS(Pagos!$C:$C,Pagos!$A:$A,$A115,Pagos!$F:$F,"Pagado"),""))</f>
        <v/>
      </c>
      <c r="K115" s="8">
        <f>IF($A115="","",IFERROR(MINIFS(Pagos!$C:$C,Pagos!$A:$A,$A115,Pagos!$F:$F,"Programado"),""))</f>
        <v/>
      </c>
      <c r="L115" s="9">
        <f>IF($A115="","",IF($K115="","",$K115-TODAY()))</f>
        <v/>
      </c>
      <c r="M115" s="9">
        <f>IF($A115="","",IF($H115&lt;=0,"Liquidada",IF(AND($K115&lt;&gt;"",$K115&lt;TODAY()),"Vencida",IF($G115&gt;0,"Parcial","Pendiente"))))</f>
        <v/>
      </c>
      <c r="N115" s="3" t="n"/>
      <c r="O115" s="3" t="n"/>
    </row>
    <row r="116">
      <c r="A116" s="3" t="n"/>
      <c r="B116" s="4" t="n"/>
      <c r="C116" s="3" t="n"/>
      <c r="D116" s="3" t="n"/>
      <c r="E116" s="3" t="n"/>
      <c r="F116" s="5" t="n"/>
      <c r="G116" s="6">
        <f>IF($A116="","",SUMIFS(Pagos!$D:$D,Pagos!$A:$A,$A116,Pagos!$F:$F,"Pagado"))</f>
        <v/>
      </c>
      <c r="H116" s="6">
        <f>IF($A116="","",$F116-$G116)</f>
        <v/>
      </c>
      <c r="I116" s="7">
        <f>IF($A116="","",IF($F116=0,0,$G116/$F116))</f>
        <v/>
      </c>
      <c r="J116" s="8">
        <f>IF($A116="","",IFERROR(MAXIFS(Pagos!$C:$C,Pagos!$A:$A,$A116,Pagos!$F:$F,"Pagado"),""))</f>
        <v/>
      </c>
      <c r="K116" s="8">
        <f>IF($A116="","",IFERROR(MINIFS(Pagos!$C:$C,Pagos!$A:$A,$A116,Pagos!$F:$F,"Programado"),""))</f>
        <v/>
      </c>
      <c r="L116" s="9">
        <f>IF($A116="","",IF($K116="","",$K116-TODAY()))</f>
        <v/>
      </c>
      <c r="M116" s="9">
        <f>IF($A116="","",IF($H116&lt;=0,"Liquidada",IF(AND($K116&lt;&gt;"",$K116&lt;TODAY()),"Vencida",IF($G116&gt;0,"Parcial","Pendiente"))))</f>
        <v/>
      </c>
      <c r="N116" s="3" t="n"/>
      <c r="O116" s="3" t="n"/>
    </row>
    <row r="117">
      <c r="A117" s="3" t="n"/>
      <c r="B117" s="4" t="n"/>
      <c r="C117" s="3" t="n"/>
      <c r="D117" s="3" t="n"/>
      <c r="E117" s="3" t="n"/>
      <c r="F117" s="5" t="n"/>
      <c r="G117" s="6">
        <f>IF($A117="","",SUMIFS(Pagos!$D:$D,Pagos!$A:$A,$A117,Pagos!$F:$F,"Pagado"))</f>
        <v/>
      </c>
      <c r="H117" s="6">
        <f>IF($A117="","",$F117-$G117)</f>
        <v/>
      </c>
      <c r="I117" s="7">
        <f>IF($A117="","",IF($F117=0,0,$G117/$F117))</f>
        <v/>
      </c>
      <c r="J117" s="8">
        <f>IF($A117="","",IFERROR(MAXIFS(Pagos!$C:$C,Pagos!$A:$A,$A117,Pagos!$F:$F,"Pagado"),""))</f>
        <v/>
      </c>
      <c r="K117" s="8">
        <f>IF($A117="","",IFERROR(MINIFS(Pagos!$C:$C,Pagos!$A:$A,$A117,Pagos!$F:$F,"Programado"),""))</f>
        <v/>
      </c>
      <c r="L117" s="9">
        <f>IF($A117="","",IF($K117="","",$K117-TODAY()))</f>
        <v/>
      </c>
      <c r="M117" s="9">
        <f>IF($A117="","",IF($H117&lt;=0,"Liquidada",IF(AND($K117&lt;&gt;"",$K117&lt;TODAY()),"Vencida",IF($G117&gt;0,"Parcial","Pendiente"))))</f>
        <v/>
      </c>
      <c r="N117" s="3" t="n"/>
      <c r="O117" s="3" t="n"/>
    </row>
    <row r="118">
      <c r="A118" s="3" t="n"/>
      <c r="B118" s="4" t="n"/>
      <c r="C118" s="3" t="n"/>
      <c r="D118" s="3" t="n"/>
      <c r="E118" s="3" t="n"/>
      <c r="F118" s="5" t="n"/>
      <c r="G118" s="6">
        <f>IF($A118="","",SUMIFS(Pagos!$D:$D,Pagos!$A:$A,$A118,Pagos!$F:$F,"Pagado"))</f>
        <v/>
      </c>
      <c r="H118" s="6">
        <f>IF($A118="","",$F118-$G118)</f>
        <v/>
      </c>
      <c r="I118" s="7">
        <f>IF($A118="","",IF($F118=0,0,$G118/$F118))</f>
        <v/>
      </c>
      <c r="J118" s="8">
        <f>IF($A118="","",IFERROR(MAXIFS(Pagos!$C:$C,Pagos!$A:$A,$A118,Pagos!$F:$F,"Pagado"),""))</f>
        <v/>
      </c>
      <c r="K118" s="8">
        <f>IF($A118="","",IFERROR(MINIFS(Pagos!$C:$C,Pagos!$A:$A,$A118,Pagos!$F:$F,"Programado"),""))</f>
        <v/>
      </c>
      <c r="L118" s="9">
        <f>IF($A118="","",IF($K118="","",$K118-TODAY()))</f>
        <v/>
      </c>
      <c r="M118" s="9">
        <f>IF($A118="","",IF($H118&lt;=0,"Liquidada",IF(AND($K118&lt;&gt;"",$K118&lt;TODAY()),"Vencida",IF($G118&gt;0,"Parcial","Pendiente"))))</f>
        <v/>
      </c>
      <c r="N118" s="3" t="n"/>
      <c r="O118" s="3" t="n"/>
    </row>
    <row r="119">
      <c r="A119" s="3" t="n"/>
      <c r="B119" s="4" t="n"/>
      <c r="C119" s="3" t="n"/>
      <c r="D119" s="3" t="n"/>
      <c r="E119" s="3" t="n"/>
      <c r="F119" s="5" t="n"/>
      <c r="G119" s="6">
        <f>IF($A119="","",SUMIFS(Pagos!$D:$D,Pagos!$A:$A,$A119,Pagos!$F:$F,"Pagado"))</f>
        <v/>
      </c>
      <c r="H119" s="6">
        <f>IF($A119="","",$F119-$G119)</f>
        <v/>
      </c>
      <c r="I119" s="7">
        <f>IF($A119="","",IF($F119=0,0,$G119/$F119))</f>
        <v/>
      </c>
      <c r="J119" s="8">
        <f>IF($A119="","",IFERROR(MAXIFS(Pagos!$C:$C,Pagos!$A:$A,$A119,Pagos!$F:$F,"Pagado"),""))</f>
        <v/>
      </c>
      <c r="K119" s="8">
        <f>IF($A119="","",IFERROR(MINIFS(Pagos!$C:$C,Pagos!$A:$A,$A119,Pagos!$F:$F,"Programado"),""))</f>
        <v/>
      </c>
      <c r="L119" s="9">
        <f>IF($A119="","",IF($K119="","",$K119-TODAY()))</f>
        <v/>
      </c>
      <c r="M119" s="9">
        <f>IF($A119="","",IF($H119&lt;=0,"Liquidada",IF(AND($K119&lt;&gt;"",$K119&lt;TODAY()),"Vencida",IF($G119&gt;0,"Parcial","Pendiente"))))</f>
        <v/>
      </c>
      <c r="N119" s="3" t="n"/>
      <c r="O119" s="3" t="n"/>
    </row>
    <row r="120">
      <c r="A120" s="3" t="n"/>
      <c r="B120" s="4" t="n"/>
      <c r="C120" s="3" t="n"/>
      <c r="D120" s="3" t="n"/>
      <c r="E120" s="3" t="n"/>
      <c r="F120" s="5" t="n"/>
      <c r="G120" s="6">
        <f>IF($A120="","",SUMIFS(Pagos!$D:$D,Pagos!$A:$A,$A120,Pagos!$F:$F,"Pagado"))</f>
        <v/>
      </c>
      <c r="H120" s="6">
        <f>IF($A120="","",$F120-$G120)</f>
        <v/>
      </c>
      <c r="I120" s="7">
        <f>IF($A120="","",IF($F120=0,0,$G120/$F120))</f>
        <v/>
      </c>
      <c r="J120" s="8">
        <f>IF($A120="","",IFERROR(MAXIFS(Pagos!$C:$C,Pagos!$A:$A,$A120,Pagos!$F:$F,"Pagado"),""))</f>
        <v/>
      </c>
      <c r="K120" s="8">
        <f>IF($A120="","",IFERROR(MINIFS(Pagos!$C:$C,Pagos!$A:$A,$A120,Pagos!$F:$F,"Programado"),""))</f>
        <v/>
      </c>
      <c r="L120" s="9">
        <f>IF($A120="","",IF($K120="","",$K120-TODAY()))</f>
        <v/>
      </c>
      <c r="M120" s="9">
        <f>IF($A120="","",IF($H120&lt;=0,"Liquidada",IF(AND($K120&lt;&gt;"",$K120&lt;TODAY()),"Vencida",IF($G120&gt;0,"Parcial","Pendiente"))))</f>
        <v/>
      </c>
      <c r="N120" s="3" t="n"/>
      <c r="O120" s="3" t="n"/>
    </row>
    <row r="121">
      <c r="A121" s="3" t="n"/>
      <c r="B121" s="4" t="n"/>
      <c r="C121" s="3" t="n"/>
      <c r="D121" s="3" t="n"/>
      <c r="E121" s="3" t="n"/>
      <c r="F121" s="5" t="n"/>
      <c r="G121" s="6">
        <f>IF($A121="","",SUMIFS(Pagos!$D:$D,Pagos!$A:$A,$A121,Pagos!$F:$F,"Pagado"))</f>
        <v/>
      </c>
      <c r="H121" s="6">
        <f>IF($A121="","",$F121-$G121)</f>
        <v/>
      </c>
      <c r="I121" s="7">
        <f>IF($A121="","",IF($F121=0,0,$G121/$F121))</f>
        <v/>
      </c>
      <c r="J121" s="8">
        <f>IF($A121="","",IFERROR(MAXIFS(Pagos!$C:$C,Pagos!$A:$A,$A121,Pagos!$F:$F,"Pagado"),""))</f>
        <v/>
      </c>
      <c r="K121" s="8">
        <f>IF($A121="","",IFERROR(MINIFS(Pagos!$C:$C,Pagos!$A:$A,$A121,Pagos!$F:$F,"Programado"),""))</f>
        <v/>
      </c>
      <c r="L121" s="9">
        <f>IF($A121="","",IF($K121="","",$K121-TODAY()))</f>
        <v/>
      </c>
      <c r="M121" s="9">
        <f>IF($A121="","",IF($H121&lt;=0,"Liquidada",IF(AND($K121&lt;&gt;"",$K121&lt;TODAY()),"Vencida",IF($G121&gt;0,"Parcial","Pendiente"))))</f>
        <v/>
      </c>
      <c r="N121" s="3" t="n"/>
      <c r="O121" s="3" t="n"/>
    </row>
    <row r="122">
      <c r="A122" s="3" t="n"/>
      <c r="B122" s="4" t="n"/>
      <c r="C122" s="3" t="n"/>
      <c r="D122" s="3" t="n"/>
      <c r="E122" s="3" t="n"/>
      <c r="F122" s="5" t="n"/>
      <c r="G122" s="6">
        <f>IF($A122="","",SUMIFS(Pagos!$D:$D,Pagos!$A:$A,$A122,Pagos!$F:$F,"Pagado"))</f>
        <v/>
      </c>
      <c r="H122" s="6">
        <f>IF($A122="","",$F122-$G122)</f>
        <v/>
      </c>
      <c r="I122" s="7">
        <f>IF($A122="","",IF($F122=0,0,$G122/$F122))</f>
        <v/>
      </c>
      <c r="J122" s="8">
        <f>IF($A122="","",IFERROR(MAXIFS(Pagos!$C:$C,Pagos!$A:$A,$A122,Pagos!$F:$F,"Pagado"),""))</f>
        <v/>
      </c>
      <c r="K122" s="8">
        <f>IF($A122="","",IFERROR(MINIFS(Pagos!$C:$C,Pagos!$A:$A,$A122,Pagos!$F:$F,"Programado"),""))</f>
        <v/>
      </c>
      <c r="L122" s="9">
        <f>IF($A122="","",IF($K122="","",$K122-TODAY()))</f>
        <v/>
      </c>
      <c r="M122" s="9">
        <f>IF($A122="","",IF($H122&lt;=0,"Liquidada",IF(AND($K122&lt;&gt;"",$K122&lt;TODAY()),"Vencida",IF($G122&gt;0,"Parcial","Pendiente"))))</f>
        <v/>
      </c>
      <c r="N122" s="3" t="n"/>
      <c r="O122" s="3" t="n"/>
    </row>
    <row r="123">
      <c r="A123" s="3" t="n"/>
      <c r="B123" s="4" t="n"/>
      <c r="C123" s="3" t="n"/>
      <c r="D123" s="3" t="n"/>
      <c r="E123" s="3" t="n"/>
      <c r="F123" s="5" t="n"/>
      <c r="G123" s="6">
        <f>IF($A123="","",SUMIFS(Pagos!$D:$D,Pagos!$A:$A,$A123,Pagos!$F:$F,"Pagado"))</f>
        <v/>
      </c>
      <c r="H123" s="6">
        <f>IF($A123="","",$F123-$G123)</f>
        <v/>
      </c>
      <c r="I123" s="7">
        <f>IF($A123="","",IF($F123=0,0,$G123/$F123))</f>
        <v/>
      </c>
      <c r="J123" s="8">
        <f>IF($A123="","",IFERROR(MAXIFS(Pagos!$C:$C,Pagos!$A:$A,$A123,Pagos!$F:$F,"Pagado"),""))</f>
        <v/>
      </c>
      <c r="K123" s="8">
        <f>IF($A123="","",IFERROR(MINIFS(Pagos!$C:$C,Pagos!$A:$A,$A123,Pagos!$F:$F,"Programado"),""))</f>
        <v/>
      </c>
      <c r="L123" s="9">
        <f>IF($A123="","",IF($K123="","",$K123-TODAY()))</f>
        <v/>
      </c>
      <c r="M123" s="9">
        <f>IF($A123="","",IF($H123&lt;=0,"Liquidada",IF(AND($K123&lt;&gt;"",$K123&lt;TODAY()),"Vencida",IF($G123&gt;0,"Parcial","Pendiente"))))</f>
        <v/>
      </c>
      <c r="N123" s="3" t="n"/>
      <c r="O123" s="3" t="n"/>
    </row>
    <row r="124">
      <c r="A124" s="3" t="n"/>
      <c r="B124" s="4" t="n"/>
      <c r="C124" s="3" t="n"/>
      <c r="D124" s="3" t="n"/>
      <c r="E124" s="3" t="n"/>
      <c r="F124" s="5" t="n"/>
      <c r="G124" s="6">
        <f>IF($A124="","",SUMIFS(Pagos!$D:$D,Pagos!$A:$A,$A124,Pagos!$F:$F,"Pagado"))</f>
        <v/>
      </c>
      <c r="H124" s="6">
        <f>IF($A124="","",$F124-$G124)</f>
        <v/>
      </c>
      <c r="I124" s="7">
        <f>IF($A124="","",IF($F124=0,0,$G124/$F124))</f>
        <v/>
      </c>
      <c r="J124" s="8">
        <f>IF($A124="","",IFERROR(MAXIFS(Pagos!$C:$C,Pagos!$A:$A,$A124,Pagos!$F:$F,"Pagado"),""))</f>
        <v/>
      </c>
      <c r="K124" s="8">
        <f>IF($A124="","",IFERROR(MINIFS(Pagos!$C:$C,Pagos!$A:$A,$A124,Pagos!$F:$F,"Programado"),""))</f>
        <v/>
      </c>
      <c r="L124" s="9">
        <f>IF($A124="","",IF($K124="","",$K124-TODAY()))</f>
        <v/>
      </c>
      <c r="M124" s="9">
        <f>IF($A124="","",IF($H124&lt;=0,"Liquidada",IF(AND($K124&lt;&gt;"",$K124&lt;TODAY()),"Vencida",IF($G124&gt;0,"Parcial","Pendiente"))))</f>
        <v/>
      </c>
      <c r="N124" s="3" t="n"/>
      <c r="O124" s="3" t="n"/>
    </row>
    <row r="125">
      <c r="A125" s="3" t="n"/>
      <c r="B125" s="4" t="n"/>
      <c r="C125" s="3" t="n"/>
      <c r="D125" s="3" t="n"/>
      <c r="E125" s="3" t="n"/>
      <c r="F125" s="5" t="n"/>
      <c r="G125" s="6">
        <f>IF($A125="","",SUMIFS(Pagos!$D:$D,Pagos!$A:$A,$A125,Pagos!$F:$F,"Pagado"))</f>
        <v/>
      </c>
      <c r="H125" s="6">
        <f>IF($A125="","",$F125-$G125)</f>
        <v/>
      </c>
      <c r="I125" s="7">
        <f>IF($A125="","",IF($F125=0,0,$G125/$F125))</f>
        <v/>
      </c>
      <c r="J125" s="8">
        <f>IF($A125="","",IFERROR(MAXIFS(Pagos!$C:$C,Pagos!$A:$A,$A125,Pagos!$F:$F,"Pagado"),""))</f>
        <v/>
      </c>
      <c r="K125" s="8">
        <f>IF($A125="","",IFERROR(MINIFS(Pagos!$C:$C,Pagos!$A:$A,$A125,Pagos!$F:$F,"Programado"),""))</f>
        <v/>
      </c>
      <c r="L125" s="9">
        <f>IF($A125="","",IF($K125="","",$K125-TODAY()))</f>
        <v/>
      </c>
      <c r="M125" s="9">
        <f>IF($A125="","",IF($H125&lt;=0,"Liquidada",IF(AND($K125&lt;&gt;"",$K125&lt;TODAY()),"Vencida",IF($G125&gt;0,"Parcial","Pendiente"))))</f>
        <v/>
      </c>
      <c r="N125" s="3" t="n"/>
      <c r="O125" s="3" t="n"/>
    </row>
    <row r="126">
      <c r="A126" s="3" t="n"/>
      <c r="B126" s="4" t="n"/>
      <c r="C126" s="3" t="n"/>
      <c r="D126" s="3" t="n"/>
      <c r="E126" s="3" t="n"/>
      <c r="F126" s="5" t="n"/>
      <c r="G126" s="6">
        <f>IF($A126="","",SUMIFS(Pagos!$D:$D,Pagos!$A:$A,$A126,Pagos!$F:$F,"Pagado"))</f>
        <v/>
      </c>
      <c r="H126" s="6">
        <f>IF($A126="","",$F126-$G126)</f>
        <v/>
      </c>
      <c r="I126" s="7">
        <f>IF($A126="","",IF($F126=0,0,$G126/$F126))</f>
        <v/>
      </c>
      <c r="J126" s="8">
        <f>IF($A126="","",IFERROR(MAXIFS(Pagos!$C:$C,Pagos!$A:$A,$A126,Pagos!$F:$F,"Pagado"),""))</f>
        <v/>
      </c>
      <c r="K126" s="8">
        <f>IF($A126="","",IFERROR(MINIFS(Pagos!$C:$C,Pagos!$A:$A,$A126,Pagos!$F:$F,"Programado"),""))</f>
        <v/>
      </c>
      <c r="L126" s="9">
        <f>IF($A126="","",IF($K126="","",$K126-TODAY()))</f>
        <v/>
      </c>
      <c r="M126" s="9">
        <f>IF($A126="","",IF($H126&lt;=0,"Liquidada",IF(AND($K126&lt;&gt;"",$K126&lt;TODAY()),"Vencida",IF($G126&gt;0,"Parcial","Pendiente"))))</f>
        <v/>
      </c>
      <c r="N126" s="3" t="n"/>
      <c r="O126" s="3" t="n"/>
    </row>
    <row r="127">
      <c r="A127" s="3" t="n"/>
      <c r="B127" s="4" t="n"/>
      <c r="C127" s="3" t="n"/>
      <c r="D127" s="3" t="n"/>
      <c r="E127" s="3" t="n"/>
      <c r="F127" s="5" t="n"/>
      <c r="G127" s="6">
        <f>IF($A127="","",SUMIFS(Pagos!$D:$D,Pagos!$A:$A,$A127,Pagos!$F:$F,"Pagado"))</f>
        <v/>
      </c>
      <c r="H127" s="6">
        <f>IF($A127="","",$F127-$G127)</f>
        <v/>
      </c>
      <c r="I127" s="7">
        <f>IF($A127="","",IF($F127=0,0,$G127/$F127))</f>
        <v/>
      </c>
      <c r="J127" s="8">
        <f>IF($A127="","",IFERROR(MAXIFS(Pagos!$C:$C,Pagos!$A:$A,$A127,Pagos!$F:$F,"Pagado"),""))</f>
        <v/>
      </c>
      <c r="K127" s="8">
        <f>IF($A127="","",IFERROR(MINIFS(Pagos!$C:$C,Pagos!$A:$A,$A127,Pagos!$F:$F,"Programado"),""))</f>
        <v/>
      </c>
      <c r="L127" s="9">
        <f>IF($A127="","",IF($K127="","",$K127-TODAY()))</f>
        <v/>
      </c>
      <c r="M127" s="9">
        <f>IF($A127="","",IF($H127&lt;=0,"Liquidada",IF(AND($K127&lt;&gt;"",$K127&lt;TODAY()),"Vencida",IF($G127&gt;0,"Parcial","Pendiente"))))</f>
        <v/>
      </c>
      <c r="N127" s="3" t="n"/>
      <c r="O127" s="3" t="n"/>
    </row>
    <row r="128">
      <c r="A128" s="3" t="n"/>
      <c r="B128" s="4" t="n"/>
      <c r="C128" s="3" t="n"/>
      <c r="D128" s="3" t="n"/>
      <c r="E128" s="3" t="n"/>
      <c r="F128" s="5" t="n"/>
      <c r="G128" s="6">
        <f>IF($A128="","",SUMIFS(Pagos!$D:$D,Pagos!$A:$A,$A128,Pagos!$F:$F,"Pagado"))</f>
        <v/>
      </c>
      <c r="H128" s="6">
        <f>IF($A128="","",$F128-$G128)</f>
        <v/>
      </c>
      <c r="I128" s="7">
        <f>IF($A128="","",IF($F128=0,0,$G128/$F128))</f>
        <v/>
      </c>
      <c r="J128" s="8">
        <f>IF($A128="","",IFERROR(MAXIFS(Pagos!$C:$C,Pagos!$A:$A,$A128,Pagos!$F:$F,"Pagado"),""))</f>
        <v/>
      </c>
      <c r="K128" s="8">
        <f>IF($A128="","",IFERROR(MINIFS(Pagos!$C:$C,Pagos!$A:$A,$A128,Pagos!$F:$F,"Programado"),""))</f>
        <v/>
      </c>
      <c r="L128" s="9">
        <f>IF($A128="","",IF($K128="","",$K128-TODAY()))</f>
        <v/>
      </c>
      <c r="M128" s="9">
        <f>IF($A128="","",IF($H128&lt;=0,"Liquidada",IF(AND($K128&lt;&gt;"",$K128&lt;TODAY()),"Vencida",IF($G128&gt;0,"Parcial","Pendiente"))))</f>
        <v/>
      </c>
      <c r="N128" s="3" t="n"/>
      <c r="O128" s="3" t="n"/>
    </row>
    <row r="129">
      <c r="A129" s="3" t="n"/>
      <c r="B129" s="4" t="n"/>
      <c r="C129" s="3" t="n"/>
      <c r="D129" s="3" t="n"/>
      <c r="E129" s="3" t="n"/>
      <c r="F129" s="5" t="n"/>
      <c r="G129" s="6">
        <f>IF($A129="","",SUMIFS(Pagos!$D:$D,Pagos!$A:$A,$A129,Pagos!$F:$F,"Pagado"))</f>
        <v/>
      </c>
      <c r="H129" s="6">
        <f>IF($A129="","",$F129-$G129)</f>
        <v/>
      </c>
      <c r="I129" s="7">
        <f>IF($A129="","",IF($F129=0,0,$G129/$F129))</f>
        <v/>
      </c>
      <c r="J129" s="8">
        <f>IF($A129="","",IFERROR(MAXIFS(Pagos!$C:$C,Pagos!$A:$A,$A129,Pagos!$F:$F,"Pagado"),""))</f>
        <v/>
      </c>
      <c r="K129" s="8">
        <f>IF($A129="","",IFERROR(MINIFS(Pagos!$C:$C,Pagos!$A:$A,$A129,Pagos!$F:$F,"Programado"),""))</f>
        <v/>
      </c>
      <c r="L129" s="9">
        <f>IF($A129="","",IF($K129="","",$K129-TODAY()))</f>
        <v/>
      </c>
      <c r="M129" s="9">
        <f>IF($A129="","",IF($H129&lt;=0,"Liquidada",IF(AND($K129&lt;&gt;"",$K129&lt;TODAY()),"Vencida",IF($G129&gt;0,"Parcial","Pendiente"))))</f>
        <v/>
      </c>
      <c r="N129" s="3" t="n"/>
      <c r="O129" s="3" t="n"/>
    </row>
    <row r="130">
      <c r="A130" s="3" t="n"/>
      <c r="B130" s="4" t="n"/>
      <c r="C130" s="3" t="n"/>
      <c r="D130" s="3" t="n"/>
      <c r="E130" s="3" t="n"/>
      <c r="F130" s="5" t="n"/>
      <c r="G130" s="6">
        <f>IF($A130="","",SUMIFS(Pagos!$D:$D,Pagos!$A:$A,$A130,Pagos!$F:$F,"Pagado"))</f>
        <v/>
      </c>
      <c r="H130" s="6">
        <f>IF($A130="","",$F130-$G130)</f>
        <v/>
      </c>
      <c r="I130" s="7">
        <f>IF($A130="","",IF($F130=0,0,$G130/$F130))</f>
        <v/>
      </c>
      <c r="J130" s="8">
        <f>IF($A130="","",IFERROR(MAXIFS(Pagos!$C:$C,Pagos!$A:$A,$A130,Pagos!$F:$F,"Pagado"),""))</f>
        <v/>
      </c>
      <c r="K130" s="8">
        <f>IF($A130="","",IFERROR(MINIFS(Pagos!$C:$C,Pagos!$A:$A,$A130,Pagos!$F:$F,"Programado"),""))</f>
        <v/>
      </c>
      <c r="L130" s="9">
        <f>IF($A130="","",IF($K130="","",$K130-TODAY()))</f>
        <v/>
      </c>
      <c r="M130" s="9">
        <f>IF($A130="","",IF($H130&lt;=0,"Liquidada",IF(AND($K130&lt;&gt;"",$K130&lt;TODAY()),"Vencida",IF($G130&gt;0,"Parcial","Pendiente"))))</f>
        <v/>
      </c>
      <c r="N130" s="3" t="n"/>
      <c r="O130" s="3" t="n"/>
    </row>
    <row r="131">
      <c r="A131" s="3" t="n"/>
      <c r="B131" s="4" t="n"/>
      <c r="C131" s="3" t="n"/>
      <c r="D131" s="3" t="n"/>
      <c r="E131" s="3" t="n"/>
      <c r="F131" s="5" t="n"/>
      <c r="G131" s="6">
        <f>IF($A131="","",SUMIFS(Pagos!$D:$D,Pagos!$A:$A,$A131,Pagos!$F:$F,"Pagado"))</f>
        <v/>
      </c>
      <c r="H131" s="6">
        <f>IF($A131="","",$F131-$G131)</f>
        <v/>
      </c>
      <c r="I131" s="7">
        <f>IF($A131="","",IF($F131=0,0,$G131/$F131))</f>
        <v/>
      </c>
      <c r="J131" s="8">
        <f>IF($A131="","",IFERROR(MAXIFS(Pagos!$C:$C,Pagos!$A:$A,$A131,Pagos!$F:$F,"Pagado"),""))</f>
        <v/>
      </c>
      <c r="K131" s="8">
        <f>IF($A131="","",IFERROR(MINIFS(Pagos!$C:$C,Pagos!$A:$A,$A131,Pagos!$F:$F,"Programado"),""))</f>
        <v/>
      </c>
      <c r="L131" s="9">
        <f>IF($A131="","",IF($K131="","",$K131-TODAY()))</f>
        <v/>
      </c>
      <c r="M131" s="9">
        <f>IF($A131="","",IF($H131&lt;=0,"Liquidada",IF(AND($K131&lt;&gt;"",$K131&lt;TODAY()),"Vencida",IF($G131&gt;0,"Parcial","Pendiente"))))</f>
        <v/>
      </c>
      <c r="N131" s="3" t="n"/>
      <c r="O131" s="3" t="n"/>
    </row>
    <row r="132">
      <c r="A132" s="3" t="n"/>
      <c r="B132" s="4" t="n"/>
      <c r="C132" s="3" t="n"/>
      <c r="D132" s="3" t="n"/>
      <c r="E132" s="3" t="n"/>
      <c r="F132" s="5" t="n"/>
      <c r="G132" s="6">
        <f>IF($A132="","",SUMIFS(Pagos!$D:$D,Pagos!$A:$A,$A132,Pagos!$F:$F,"Pagado"))</f>
        <v/>
      </c>
      <c r="H132" s="6">
        <f>IF($A132="","",$F132-$G132)</f>
        <v/>
      </c>
      <c r="I132" s="7">
        <f>IF($A132="","",IF($F132=0,0,$G132/$F132))</f>
        <v/>
      </c>
      <c r="J132" s="8">
        <f>IF($A132="","",IFERROR(MAXIFS(Pagos!$C:$C,Pagos!$A:$A,$A132,Pagos!$F:$F,"Pagado"),""))</f>
        <v/>
      </c>
      <c r="K132" s="8">
        <f>IF($A132="","",IFERROR(MINIFS(Pagos!$C:$C,Pagos!$A:$A,$A132,Pagos!$F:$F,"Programado"),""))</f>
        <v/>
      </c>
      <c r="L132" s="9">
        <f>IF($A132="","",IF($K132="","",$K132-TODAY()))</f>
        <v/>
      </c>
      <c r="M132" s="9">
        <f>IF($A132="","",IF($H132&lt;=0,"Liquidada",IF(AND($K132&lt;&gt;"",$K132&lt;TODAY()),"Vencida",IF($G132&gt;0,"Parcial","Pendiente"))))</f>
        <v/>
      </c>
      <c r="N132" s="3" t="n"/>
      <c r="O132" s="3" t="n"/>
    </row>
    <row r="133">
      <c r="A133" s="3" t="n"/>
      <c r="B133" s="4" t="n"/>
      <c r="C133" s="3" t="n"/>
      <c r="D133" s="3" t="n"/>
      <c r="E133" s="3" t="n"/>
      <c r="F133" s="5" t="n"/>
      <c r="G133" s="6">
        <f>IF($A133="","",SUMIFS(Pagos!$D:$D,Pagos!$A:$A,$A133,Pagos!$F:$F,"Pagado"))</f>
        <v/>
      </c>
      <c r="H133" s="6">
        <f>IF($A133="","",$F133-$G133)</f>
        <v/>
      </c>
      <c r="I133" s="7">
        <f>IF($A133="","",IF($F133=0,0,$G133/$F133))</f>
        <v/>
      </c>
      <c r="J133" s="8">
        <f>IF($A133="","",IFERROR(MAXIFS(Pagos!$C:$C,Pagos!$A:$A,$A133,Pagos!$F:$F,"Pagado"),""))</f>
        <v/>
      </c>
      <c r="K133" s="8">
        <f>IF($A133="","",IFERROR(MINIFS(Pagos!$C:$C,Pagos!$A:$A,$A133,Pagos!$F:$F,"Programado"),""))</f>
        <v/>
      </c>
      <c r="L133" s="9">
        <f>IF($A133="","",IF($K133="","",$K133-TODAY()))</f>
        <v/>
      </c>
      <c r="M133" s="9">
        <f>IF($A133="","",IF($H133&lt;=0,"Liquidada",IF(AND($K133&lt;&gt;"",$K133&lt;TODAY()),"Vencida",IF($G133&gt;0,"Parcial","Pendiente"))))</f>
        <v/>
      </c>
      <c r="N133" s="3" t="n"/>
      <c r="O133" s="3" t="n"/>
    </row>
    <row r="134">
      <c r="A134" s="3" t="n"/>
      <c r="B134" s="4" t="n"/>
      <c r="C134" s="3" t="n"/>
      <c r="D134" s="3" t="n"/>
      <c r="E134" s="3" t="n"/>
      <c r="F134" s="5" t="n"/>
      <c r="G134" s="6">
        <f>IF($A134="","",SUMIFS(Pagos!$D:$D,Pagos!$A:$A,$A134,Pagos!$F:$F,"Pagado"))</f>
        <v/>
      </c>
      <c r="H134" s="6">
        <f>IF($A134="","",$F134-$G134)</f>
        <v/>
      </c>
      <c r="I134" s="7">
        <f>IF($A134="","",IF($F134=0,0,$G134/$F134))</f>
        <v/>
      </c>
      <c r="J134" s="8">
        <f>IF($A134="","",IFERROR(MAXIFS(Pagos!$C:$C,Pagos!$A:$A,$A134,Pagos!$F:$F,"Pagado"),""))</f>
        <v/>
      </c>
      <c r="K134" s="8">
        <f>IF($A134="","",IFERROR(MINIFS(Pagos!$C:$C,Pagos!$A:$A,$A134,Pagos!$F:$F,"Programado"),""))</f>
        <v/>
      </c>
      <c r="L134" s="9">
        <f>IF($A134="","",IF($K134="","",$K134-TODAY()))</f>
        <v/>
      </c>
      <c r="M134" s="9">
        <f>IF($A134="","",IF($H134&lt;=0,"Liquidada",IF(AND($K134&lt;&gt;"",$K134&lt;TODAY()),"Vencida",IF($G134&gt;0,"Parcial","Pendiente"))))</f>
        <v/>
      </c>
      <c r="N134" s="3" t="n"/>
      <c r="O134" s="3" t="n"/>
    </row>
    <row r="135">
      <c r="A135" s="3" t="n"/>
      <c r="B135" s="4" t="n"/>
      <c r="C135" s="3" t="n"/>
      <c r="D135" s="3" t="n"/>
      <c r="E135" s="3" t="n"/>
      <c r="F135" s="5" t="n"/>
      <c r="G135" s="6">
        <f>IF($A135="","",SUMIFS(Pagos!$D:$D,Pagos!$A:$A,$A135,Pagos!$F:$F,"Pagado"))</f>
        <v/>
      </c>
      <c r="H135" s="6">
        <f>IF($A135="","",$F135-$G135)</f>
        <v/>
      </c>
      <c r="I135" s="7">
        <f>IF($A135="","",IF($F135=0,0,$G135/$F135))</f>
        <v/>
      </c>
      <c r="J135" s="8">
        <f>IF($A135="","",IFERROR(MAXIFS(Pagos!$C:$C,Pagos!$A:$A,$A135,Pagos!$F:$F,"Pagado"),""))</f>
        <v/>
      </c>
      <c r="K135" s="8">
        <f>IF($A135="","",IFERROR(MINIFS(Pagos!$C:$C,Pagos!$A:$A,$A135,Pagos!$F:$F,"Programado"),""))</f>
        <v/>
      </c>
      <c r="L135" s="9">
        <f>IF($A135="","",IF($K135="","",$K135-TODAY()))</f>
        <v/>
      </c>
      <c r="M135" s="9">
        <f>IF($A135="","",IF($H135&lt;=0,"Liquidada",IF(AND($K135&lt;&gt;"",$K135&lt;TODAY()),"Vencida",IF($G135&gt;0,"Parcial","Pendiente"))))</f>
        <v/>
      </c>
      <c r="N135" s="3" t="n"/>
      <c r="O135" s="3" t="n"/>
    </row>
    <row r="136">
      <c r="A136" s="3" t="n"/>
      <c r="B136" s="4" t="n"/>
      <c r="C136" s="3" t="n"/>
      <c r="D136" s="3" t="n"/>
      <c r="E136" s="3" t="n"/>
      <c r="F136" s="5" t="n"/>
      <c r="G136" s="6">
        <f>IF($A136="","",SUMIFS(Pagos!$D:$D,Pagos!$A:$A,$A136,Pagos!$F:$F,"Pagado"))</f>
        <v/>
      </c>
      <c r="H136" s="6">
        <f>IF($A136="","",$F136-$G136)</f>
        <v/>
      </c>
      <c r="I136" s="7">
        <f>IF($A136="","",IF($F136=0,0,$G136/$F136))</f>
        <v/>
      </c>
      <c r="J136" s="8">
        <f>IF($A136="","",IFERROR(MAXIFS(Pagos!$C:$C,Pagos!$A:$A,$A136,Pagos!$F:$F,"Pagado"),""))</f>
        <v/>
      </c>
      <c r="K136" s="8">
        <f>IF($A136="","",IFERROR(MINIFS(Pagos!$C:$C,Pagos!$A:$A,$A136,Pagos!$F:$F,"Programado"),""))</f>
        <v/>
      </c>
      <c r="L136" s="9">
        <f>IF($A136="","",IF($K136="","",$K136-TODAY()))</f>
        <v/>
      </c>
      <c r="M136" s="9">
        <f>IF($A136="","",IF($H136&lt;=0,"Liquidada",IF(AND($K136&lt;&gt;"",$K136&lt;TODAY()),"Vencida",IF($G136&gt;0,"Parcial","Pendiente"))))</f>
        <v/>
      </c>
      <c r="N136" s="3" t="n"/>
      <c r="O136" s="3" t="n"/>
    </row>
    <row r="137">
      <c r="A137" s="3" t="n"/>
      <c r="B137" s="4" t="n"/>
      <c r="C137" s="3" t="n"/>
      <c r="D137" s="3" t="n"/>
      <c r="E137" s="3" t="n"/>
      <c r="F137" s="5" t="n"/>
      <c r="G137" s="6">
        <f>IF($A137="","",SUMIFS(Pagos!$D:$D,Pagos!$A:$A,$A137,Pagos!$F:$F,"Pagado"))</f>
        <v/>
      </c>
      <c r="H137" s="6">
        <f>IF($A137="","",$F137-$G137)</f>
        <v/>
      </c>
      <c r="I137" s="7">
        <f>IF($A137="","",IF($F137=0,0,$G137/$F137))</f>
        <v/>
      </c>
      <c r="J137" s="8">
        <f>IF($A137="","",IFERROR(MAXIFS(Pagos!$C:$C,Pagos!$A:$A,$A137,Pagos!$F:$F,"Pagado"),""))</f>
        <v/>
      </c>
      <c r="K137" s="8">
        <f>IF($A137="","",IFERROR(MINIFS(Pagos!$C:$C,Pagos!$A:$A,$A137,Pagos!$F:$F,"Programado"),""))</f>
        <v/>
      </c>
      <c r="L137" s="9">
        <f>IF($A137="","",IF($K137="","",$K137-TODAY()))</f>
        <v/>
      </c>
      <c r="M137" s="9">
        <f>IF($A137="","",IF($H137&lt;=0,"Liquidada",IF(AND($K137&lt;&gt;"",$K137&lt;TODAY()),"Vencida",IF($G137&gt;0,"Parcial","Pendiente"))))</f>
        <v/>
      </c>
      <c r="N137" s="3" t="n"/>
      <c r="O137" s="3" t="n"/>
    </row>
    <row r="138">
      <c r="A138" s="3" t="n"/>
      <c r="B138" s="4" t="n"/>
      <c r="C138" s="3" t="n"/>
      <c r="D138" s="3" t="n"/>
      <c r="E138" s="3" t="n"/>
      <c r="F138" s="5" t="n"/>
      <c r="G138" s="6">
        <f>IF($A138="","",SUMIFS(Pagos!$D:$D,Pagos!$A:$A,$A138,Pagos!$F:$F,"Pagado"))</f>
        <v/>
      </c>
      <c r="H138" s="6">
        <f>IF($A138="","",$F138-$G138)</f>
        <v/>
      </c>
      <c r="I138" s="7">
        <f>IF($A138="","",IF($F138=0,0,$G138/$F138))</f>
        <v/>
      </c>
      <c r="J138" s="8">
        <f>IF($A138="","",IFERROR(MAXIFS(Pagos!$C:$C,Pagos!$A:$A,$A138,Pagos!$F:$F,"Pagado"),""))</f>
        <v/>
      </c>
      <c r="K138" s="8">
        <f>IF($A138="","",IFERROR(MINIFS(Pagos!$C:$C,Pagos!$A:$A,$A138,Pagos!$F:$F,"Programado"),""))</f>
        <v/>
      </c>
      <c r="L138" s="9">
        <f>IF($A138="","",IF($K138="","",$K138-TODAY()))</f>
        <v/>
      </c>
      <c r="M138" s="9">
        <f>IF($A138="","",IF($H138&lt;=0,"Liquidada",IF(AND($K138&lt;&gt;"",$K138&lt;TODAY()),"Vencida",IF($G138&gt;0,"Parcial","Pendiente"))))</f>
        <v/>
      </c>
      <c r="N138" s="3" t="n"/>
      <c r="O138" s="3" t="n"/>
    </row>
    <row r="139">
      <c r="A139" s="3" t="n"/>
      <c r="B139" s="4" t="n"/>
      <c r="C139" s="3" t="n"/>
      <c r="D139" s="3" t="n"/>
      <c r="E139" s="3" t="n"/>
      <c r="F139" s="5" t="n"/>
      <c r="G139" s="6">
        <f>IF($A139="","",SUMIFS(Pagos!$D:$D,Pagos!$A:$A,$A139,Pagos!$F:$F,"Pagado"))</f>
        <v/>
      </c>
      <c r="H139" s="6">
        <f>IF($A139="","",$F139-$G139)</f>
        <v/>
      </c>
      <c r="I139" s="7">
        <f>IF($A139="","",IF($F139=0,0,$G139/$F139))</f>
        <v/>
      </c>
      <c r="J139" s="8">
        <f>IF($A139="","",IFERROR(MAXIFS(Pagos!$C:$C,Pagos!$A:$A,$A139,Pagos!$F:$F,"Pagado"),""))</f>
        <v/>
      </c>
      <c r="K139" s="8">
        <f>IF($A139="","",IFERROR(MINIFS(Pagos!$C:$C,Pagos!$A:$A,$A139,Pagos!$F:$F,"Programado"),""))</f>
        <v/>
      </c>
      <c r="L139" s="9">
        <f>IF($A139="","",IF($K139="","",$K139-TODAY()))</f>
        <v/>
      </c>
      <c r="M139" s="9">
        <f>IF($A139="","",IF($H139&lt;=0,"Liquidada",IF(AND($K139&lt;&gt;"",$K139&lt;TODAY()),"Vencida",IF($G139&gt;0,"Parcial","Pendiente"))))</f>
        <v/>
      </c>
      <c r="N139" s="3" t="n"/>
      <c r="O139" s="3" t="n"/>
    </row>
    <row r="140">
      <c r="A140" s="3" t="n"/>
      <c r="B140" s="4" t="n"/>
      <c r="C140" s="3" t="n"/>
      <c r="D140" s="3" t="n"/>
      <c r="E140" s="3" t="n"/>
      <c r="F140" s="5" t="n"/>
      <c r="G140" s="6">
        <f>IF($A140="","",SUMIFS(Pagos!$D:$D,Pagos!$A:$A,$A140,Pagos!$F:$F,"Pagado"))</f>
        <v/>
      </c>
      <c r="H140" s="6">
        <f>IF($A140="","",$F140-$G140)</f>
        <v/>
      </c>
      <c r="I140" s="7">
        <f>IF($A140="","",IF($F140=0,0,$G140/$F140))</f>
        <v/>
      </c>
      <c r="J140" s="8">
        <f>IF($A140="","",IFERROR(MAXIFS(Pagos!$C:$C,Pagos!$A:$A,$A140,Pagos!$F:$F,"Pagado"),""))</f>
        <v/>
      </c>
      <c r="K140" s="8">
        <f>IF($A140="","",IFERROR(MINIFS(Pagos!$C:$C,Pagos!$A:$A,$A140,Pagos!$F:$F,"Programado"),""))</f>
        <v/>
      </c>
      <c r="L140" s="9">
        <f>IF($A140="","",IF($K140="","",$K140-TODAY()))</f>
        <v/>
      </c>
      <c r="M140" s="9">
        <f>IF($A140="","",IF($H140&lt;=0,"Liquidada",IF(AND($K140&lt;&gt;"",$K140&lt;TODAY()),"Vencida",IF($G140&gt;0,"Parcial","Pendiente"))))</f>
        <v/>
      </c>
      <c r="N140" s="3" t="n"/>
      <c r="O140" s="3" t="n"/>
    </row>
    <row r="141">
      <c r="A141" s="3" t="n"/>
      <c r="B141" s="4" t="n"/>
      <c r="C141" s="3" t="n"/>
      <c r="D141" s="3" t="n"/>
      <c r="E141" s="3" t="n"/>
      <c r="F141" s="5" t="n"/>
      <c r="G141" s="6">
        <f>IF($A141="","",SUMIFS(Pagos!$D:$D,Pagos!$A:$A,$A141,Pagos!$F:$F,"Pagado"))</f>
        <v/>
      </c>
      <c r="H141" s="6">
        <f>IF($A141="","",$F141-$G141)</f>
        <v/>
      </c>
      <c r="I141" s="7">
        <f>IF($A141="","",IF($F141=0,0,$G141/$F141))</f>
        <v/>
      </c>
      <c r="J141" s="8">
        <f>IF($A141="","",IFERROR(MAXIFS(Pagos!$C:$C,Pagos!$A:$A,$A141,Pagos!$F:$F,"Pagado"),""))</f>
        <v/>
      </c>
      <c r="K141" s="8">
        <f>IF($A141="","",IFERROR(MINIFS(Pagos!$C:$C,Pagos!$A:$A,$A141,Pagos!$F:$F,"Programado"),""))</f>
        <v/>
      </c>
      <c r="L141" s="9">
        <f>IF($A141="","",IF($K141="","",$K141-TODAY()))</f>
        <v/>
      </c>
      <c r="M141" s="9">
        <f>IF($A141="","",IF($H141&lt;=0,"Liquidada",IF(AND($K141&lt;&gt;"",$K141&lt;TODAY()),"Vencida",IF($G141&gt;0,"Parcial","Pendiente"))))</f>
        <v/>
      </c>
      <c r="N141" s="3" t="n"/>
      <c r="O141" s="3" t="n"/>
    </row>
    <row r="142">
      <c r="A142" s="3" t="n"/>
      <c r="B142" s="4" t="n"/>
      <c r="C142" s="3" t="n"/>
      <c r="D142" s="3" t="n"/>
      <c r="E142" s="3" t="n"/>
      <c r="F142" s="5" t="n"/>
      <c r="G142" s="6">
        <f>IF($A142="","",SUMIFS(Pagos!$D:$D,Pagos!$A:$A,$A142,Pagos!$F:$F,"Pagado"))</f>
        <v/>
      </c>
      <c r="H142" s="6">
        <f>IF($A142="","",$F142-$G142)</f>
        <v/>
      </c>
      <c r="I142" s="7">
        <f>IF($A142="","",IF($F142=0,0,$G142/$F142))</f>
        <v/>
      </c>
      <c r="J142" s="8">
        <f>IF($A142="","",IFERROR(MAXIFS(Pagos!$C:$C,Pagos!$A:$A,$A142,Pagos!$F:$F,"Pagado"),""))</f>
        <v/>
      </c>
      <c r="K142" s="8">
        <f>IF($A142="","",IFERROR(MINIFS(Pagos!$C:$C,Pagos!$A:$A,$A142,Pagos!$F:$F,"Programado"),""))</f>
        <v/>
      </c>
      <c r="L142" s="9">
        <f>IF($A142="","",IF($K142="","",$K142-TODAY()))</f>
        <v/>
      </c>
      <c r="M142" s="9">
        <f>IF($A142="","",IF($H142&lt;=0,"Liquidada",IF(AND($K142&lt;&gt;"",$K142&lt;TODAY()),"Vencida",IF($G142&gt;0,"Parcial","Pendiente"))))</f>
        <v/>
      </c>
      <c r="N142" s="3" t="n"/>
      <c r="O142" s="3" t="n"/>
    </row>
    <row r="143">
      <c r="A143" s="3" t="n"/>
      <c r="B143" s="4" t="n"/>
      <c r="C143" s="3" t="n"/>
      <c r="D143" s="3" t="n"/>
      <c r="E143" s="3" t="n"/>
      <c r="F143" s="5" t="n"/>
      <c r="G143" s="6">
        <f>IF($A143="","",SUMIFS(Pagos!$D:$D,Pagos!$A:$A,$A143,Pagos!$F:$F,"Pagado"))</f>
        <v/>
      </c>
      <c r="H143" s="6">
        <f>IF($A143="","",$F143-$G143)</f>
        <v/>
      </c>
      <c r="I143" s="7">
        <f>IF($A143="","",IF($F143=0,0,$G143/$F143))</f>
        <v/>
      </c>
      <c r="J143" s="8">
        <f>IF($A143="","",IFERROR(MAXIFS(Pagos!$C:$C,Pagos!$A:$A,$A143,Pagos!$F:$F,"Pagado"),""))</f>
        <v/>
      </c>
      <c r="K143" s="8">
        <f>IF($A143="","",IFERROR(MINIFS(Pagos!$C:$C,Pagos!$A:$A,$A143,Pagos!$F:$F,"Programado"),""))</f>
        <v/>
      </c>
      <c r="L143" s="9">
        <f>IF($A143="","",IF($K143="","",$K143-TODAY()))</f>
        <v/>
      </c>
      <c r="M143" s="9">
        <f>IF($A143="","",IF($H143&lt;=0,"Liquidada",IF(AND($K143&lt;&gt;"",$K143&lt;TODAY()),"Vencida",IF($G143&gt;0,"Parcial","Pendiente"))))</f>
        <v/>
      </c>
      <c r="N143" s="3" t="n"/>
      <c r="O143" s="3" t="n"/>
    </row>
    <row r="144">
      <c r="A144" s="3" t="n"/>
      <c r="B144" s="4" t="n"/>
      <c r="C144" s="3" t="n"/>
      <c r="D144" s="3" t="n"/>
      <c r="E144" s="3" t="n"/>
      <c r="F144" s="5" t="n"/>
      <c r="G144" s="6">
        <f>IF($A144="","",SUMIFS(Pagos!$D:$D,Pagos!$A:$A,$A144,Pagos!$F:$F,"Pagado"))</f>
        <v/>
      </c>
      <c r="H144" s="6">
        <f>IF($A144="","",$F144-$G144)</f>
        <v/>
      </c>
      <c r="I144" s="7">
        <f>IF($A144="","",IF($F144=0,0,$G144/$F144))</f>
        <v/>
      </c>
      <c r="J144" s="8">
        <f>IF($A144="","",IFERROR(MAXIFS(Pagos!$C:$C,Pagos!$A:$A,$A144,Pagos!$F:$F,"Pagado"),""))</f>
        <v/>
      </c>
      <c r="K144" s="8">
        <f>IF($A144="","",IFERROR(MINIFS(Pagos!$C:$C,Pagos!$A:$A,$A144,Pagos!$F:$F,"Programado"),""))</f>
        <v/>
      </c>
      <c r="L144" s="9">
        <f>IF($A144="","",IF($K144="","",$K144-TODAY()))</f>
        <v/>
      </c>
      <c r="M144" s="9">
        <f>IF($A144="","",IF($H144&lt;=0,"Liquidada",IF(AND($K144&lt;&gt;"",$K144&lt;TODAY()),"Vencida",IF($G144&gt;0,"Parcial","Pendiente"))))</f>
        <v/>
      </c>
      <c r="N144" s="3" t="n"/>
      <c r="O144" s="3" t="n"/>
    </row>
    <row r="145">
      <c r="A145" s="3" t="n"/>
      <c r="B145" s="4" t="n"/>
      <c r="C145" s="3" t="n"/>
      <c r="D145" s="3" t="n"/>
      <c r="E145" s="3" t="n"/>
      <c r="F145" s="5" t="n"/>
      <c r="G145" s="6">
        <f>IF($A145="","",SUMIFS(Pagos!$D:$D,Pagos!$A:$A,$A145,Pagos!$F:$F,"Pagado"))</f>
        <v/>
      </c>
      <c r="H145" s="6">
        <f>IF($A145="","",$F145-$G145)</f>
        <v/>
      </c>
      <c r="I145" s="7">
        <f>IF($A145="","",IF($F145=0,0,$G145/$F145))</f>
        <v/>
      </c>
      <c r="J145" s="8">
        <f>IF($A145="","",IFERROR(MAXIFS(Pagos!$C:$C,Pagos!$A:$A,$A145,Pagos!$F:$F,"Pagado"),""))</f>
        <v/>
      </c>
      <c r="K145" s="8">
        <f>IF($A145="","",IFERROR(MINIFS(Pagos!$C:$C,Pagos!$A:$A,$A145,Pagos!$F:$F,"Programado"),""))</f>
        <v/>
      </c>
      <c r="L145" s="9">
        <f>IF($A145="","",IF($K145="","",$K145-TODAY()))</f>
        <v/>
      </c>
      <c r="M145" s="9">
        <f>IF($A145="","",IF($H145&lt;=0,"Liquidada",IF(AND($K145&lt;&gt;"",$K145&lt;TODAY()),"Vencida",IF($G145&gt;0,"Parcial","Pendiente"))))</f>
        <v/>
      </c>
      <c r="N145" s="3" t="n"/>
      <c r="O145" s="3" t="n"/>
    </row>
    <row r="146">
      <c r="A146" s="3" t="n"/>
      <c r="B146" s="4" t="n"/>
      <c r="C146" s="3" t="n"/>
      <c r="D146" s="3" t="n"/>
      <c r="E146" s="3" t="n"/>
      <c r="F146" s="5" t="n"/>
      <c r="G146" s="6">
        <f>IF($A146="","",SUMIFS(Pagos!$D:$D,Pagos!$A:$A,$A146,Pagos!$F:$F,"Pagado"))</f>
        <v/>
      </c>
      <c r="H146" s="6">
        <f>IF($A146="","",$F146-$G146)</f>
        <v/>
      </c>
      <c r="I146" s="7">
        <f>IF($A146="","",IF($F146=0,0,$G146/$F146))</f>
        <v/>
      </c>
      <c r="J146" s="8">
        <f>IF($A146="","",IFERROR(MAXIFS(Pagos!$C:$C,Pagos!$A:$A,$A146,Pagos!$F:$F,"Pagado"),""))</f>
        <v/>
      </c>
      <c r="K146" s="8">
        <f>IF($A146="","",IFERROR(MINIFS(Pagos!$C:$C,Pagos!$A:$A,$A146,Pagos!$F:$F,"Programado"),""))</f>
        <v/>
      </c>
      <c r="L146" s="9">
        <f>IF($A146="","",IF($K146="","",$K146-TODAY()))</f>
        <v/>
      </c>
      <c r="M146" s="9">
        <f>IF($A146="","",IF($H146&lt;=0,"Liquidada",IF(AND($K146&lt;&gt;"",$K146&lt;TODAY()),"Vencida",IF($G146&gt;0,"Parcial","Pendiente"))))</f>
        <v/>
      </c>
      <c r="N146" s="3" t="n"/>
      <c r="O146" s="3" t="n"/>
    </row>
    <row r="147">
      <c r="A147" s="3" t="n"/>
      <c r="B147" s="4" t="n"/>
      <c r="C147" s="3" t="n"/>
      <c r="D147" s="3" t="n"/>
      <c r="E147" s="3" t="n"/>
      <c r="F147" s="5" t="n"/>
      <c r="G147" s="6">
        <f>IF($A147="","",SUMIFS(Pagos!$D:$D,Pagos!$A:$A,$A147,Pagos!$F:$F,"Pagado"))</f>
        <v/>
      </c>
      <c r="H147" s="6">
        <f>IF($A147="","",$F147-$G147)</f>
        <v/>
      </c>
      <c r="I147" s="7">
        <f>IF($A147="","",IF($F147=0,0,$G147/$F147))</f>
        <v/>
      </c>
      <c r="J147" s="8">
        <f>IF($A147="","",IFERROR(MAXIFS(Pagos!$C:$C,Pagos!$A:$A,$A147,Pagos!$F:$F,"Pagado"),""))</f>
        <v/>
      </c>
      <c r="K147" s="8">
        <f>IF($A147="","",IFERROR(MINIFS(Pagos!$C:$C,Pagos!$A:$A,$A147,Pagos!$F:$F,"Programado"),""))</f>
        <v/>
      </c>
      <c r="L147" s="9">
        <f>IF($A147="","",IF($K147="","",$K147-TODAY()))</f>
        <v/>
      </c>
      <c r="M147" s="9">
        <f>IF($A147="","",IF($H147&lt;=0,"Liquidada",IF(AND($K147&lt;&gt;"",$K147&lt;TODAY()),"Vencida",IF($G147&gt;0,"Parcial","Pendiente"))))</f>
        <v/>
      </c>
      <c r="N147" s="3" t="n"/>
      <c r="O147" s="3" t="n"/>
    </row>
    <row r="148">
      <c r="A148" s="3" t="n"/>
      <c r="B148" s="4" t="n"/>
      <c r="C148" s="3" t="n"/>
      <c r="D148" s="3" t="n"/>
      <c r="E148" s="3" t="n"/>
      <c r="F148" s="5" t="n"/>
      <c r="G148" s="6">
        <f>IF($A148="","",SUMIFS(Pagos!$D:$D,Pagos!$A:$A,$A148,Pagos!$F:$F,"Pagado"))</f>
        <v/>
      </c>
      <c r="H148" s="6">
        <f>IF($A148="","",$F148-$G148)</f>
        <v/>
      </c>
      <c r="I148" s="7">
        <f>IF($A148="","",IF($F148=0,0,$G148/$F148))</f>
        <v/>
      </c>
      <c r="J148" s="8">
        <f>IF($A148="","",IFERROR(MAXIFS(Pagos!$C:$C,Pagos!$A:$A,$A148,Pagos!$F:$F,"Pagado"),""))</f>
        <v/>
      </c>
      <c r="K148" s="8">
        <f>IF($A148="","",IFERROR(MINIFS(Pagos!$C:$C,Pagos!$A:$A,$A148,Pagos!$F:$F,"Programado"),""))</f>
        <v/>
      </c>
      <c r="L148" s="9">
        <f>IF($A148="","",IF($K148="","",$K148-TODAY()))</f>
        <v/>
      </c>
      <c r="M148" s="9">
        <f>IF($A148="","",IF($H148&lt;=0,"Liquidada",IF(AND($K148&lt;&gt;"",$K148&lt;TODAY()),"Vencida",IF($G148&gt;0,"Parcial","Pendiente"))))</f>
        <v/>
      </c>
      <c r="N148" s="3" t="n"/>
      <c r="O148" s="3" t="n"/>
    </row>
    <row r="149">
      <c r="A149" s="3" t="n"/>
      <c r="B149" s="4" t="n"/>
      <c r="C149" s="3" t="n"/>
      <c r="D149" s="3" t="n"/>
      <c r="E149" s="3" t="n"/>
      <c r="F149" s="5" t="n"/>
      <c r="G149" s="6">
        <f>IF($A149="","",SUMIFS(Pagos!$D:$D,Pagos!$A:$A,$A149,Pagos!$F:$F,"Pagado"))</f>
        <v/>
      </c>
      <c r="H149" s="6">
        <f>IF($A149="","",$F149-$G149)</f>
        <v/>
      </c>
      <c r="I149" s="7">
        <f>IF($A149="","",IF($F149=0,0,$G149/$F149))</f>
        <v/>
      </c>
      <c r="J149" s="8">
        <f>IF($A149="","",IFERROR(MAXIFS(Pagos!$C:$C,Pagos!$A:$A,$A149,Pagos!$F:$F,"Pagado"),""))</f>
        <v/>
      </c>
      <c r="K149" s="8">
        <f>IF($A149="","",IFERROR(MINIFS(Pagos!$C:$C,Pagos!$A:$A,$A149,Pagos!$F:$F,"Programado"),""))</f>
        <v/>
      </c>
      <c r="L149" s="9">
        <f>IF($A149="","",IF($K149="","",$K149-TODAY()))</f>
        <v/>
      </c>
      <c r="M149" s="9">
        <f>IF($A149="","",IF($H149&lt;=0,"Liquidada",IF(AND($K149&lt;&gt;"",$K149&lt;TODAY()),"Vencida",IF($G149&gt;0,"Parcial","Pendiente"))))</f>
        <v/>
      </c>
      <c r="N149" s="3" t="n"/>
      <c r="O149" s="3" t="n"/>
    </row>
    <row r="150">
      <c r="A150" s="3" t="n"/>
      <c r="B150" s="4" t="n"/>
      <c r="C150" s="3" t="n"/>
      <c r="D150" s="3" t="n"/>
      <c r="E150" s="3" t="n"/>
      <c r="F150" s="5" t="n"/>
      <c r="G150" s="6">
        <f>IF($A150="","",SUMIFS(Pagos!$D:$D,Pagos!$A:$A,$A150,Pagos!$F:$F,"Pagado"))</f>
        <v/>
      </c>
      <c r="H150" s="6">
        <f>IF($A150="","",$F150-$G150)</f>
        <v/>
      </c>
      <c r="I150" s="7">
        <f>IF($A150="","",IF($F150=0,0,$G150/$F150))</f>
        <v/>
      </c>
      <c r="J150" s="8">
        <f>IF($A150="","",IFERROR(MAXIFS(Pagos!$C:$C,Pagos!$A:$A,$A150,Pagos!$F:$F,"Pagado"),""))</f>
        <v/>
      </c>
      <c r="K150" s="8">
        <f>IF($A150="","",IFERROR(MINIFS(Pagos!$C:$C,Pagos!$A:$A,$A150,Pagos!$F:$F,"Programado"),""))</f>
        <v/>
      </c>
      <c r="L150" s="9">
        <f>IF($A150="","",IF($K150="","",$K150-TODAY()))</f>
        <v/>
      </c>
      <c r="M150" s="9">
        <f>IF($A150="","",IF($H150&lt;=0,"Liquidada",IF(AND($K150&lt;&gt;"",$K150&lt;TODAY()),"Vencida",IF($G150&gt;0,"Parcial","Pendiente"))))</f>
        <v/>
      </c>
      <c r="N150" s="3" t="n"/>
      <c r="O150" s="3" t="n"/>
    </row>
    <row r="151">
      <c r="A151" s="3" t="n"/>
      <c r="B151" s="4" t="n"/>
      <c r="C151" s="3" t="n"/>
      <c r="D151" s="3" t="n"/>
      <c r="E151" s="3" t="n"/>
      <c r="F151" s="5" t="n"/>
      <c r="G151" s="6">
        <f>IF($A151="","",SUMIFS(Pagos!$D:$D,Pagos!$A:$A,$A151,Pagos!$F:$F,"Pagado"))</f>
        <v/>
      </c>
      <c r="H151" s="6">
        <f>IF($A151="","",$F151-$G151)</f>
        <v/>
      </c>
      <c r="I151" s="7">
        <f>IF($A151="","",IF($F151=0,0,$G151/$F151))</f>
        <v/>
      </c>
      <c r="J151" s="8">
        <f>IF($A151="","",IFERROR(MAXIFS(Pagos!$C:$C,Pagos!$A:$A,$A151,Pagos!$F:$F,"Pagado"),""))</f>
        <v/>
      </c>
      <c r="K151" s="8">
        <f>IF($A151="","",IFERROR(MINIFS(Pagos!$C:$C,Pagos!$A:$A,$A151,Pagos!$F:$F,"Programado"),""))</f>
        <v/>
      </c>
      <c r="L151" s="9">
        <f>IF($A151="","",IF($K151="","",$K151-TODAY()))</f>
        <v/>
      </c>
      <c r="M151" s="9">
        <f>IF($A151="","",IF($H151&lt;=0,"Liquidada",IF(AND($K151&lt;&gt;"",$K151&lt;TODAY()),"Vencida",IF($G151&gt;0,"Parcial","Pendiente"))))</f>
        <v/>
      </c>
      <c r="N151" s="3" t="n"/>
      <c r="O151" s="3" t="n"/>
    </row>
    <row r="152">
      <c r="A152" s="3" t="n"/>
      <c r="B152" s="4" t="n"/>
      <c r="C152" s="3" t="n"/>
      <c r="D152" s="3" t="n"/>
      <c r="E152" s="3" t="n"/>
      <c r="F152" s="5" t="n"/>
      <c r="G152" s="6">
        <f>IF($A152="","",SUMIFS(Pagos!$D:$D,Pagos!$A:$A,$A152,Pagos!$F:$F,"Pagado"))</f>
        <v/>
      </c>
      <c r="H152" s="6">
        <f>IF($A152="","",$F152-$G152)</f>
        <v/>
      </c>
      <c r="I152" s="7">
        <f>IF($A152="","",IF($F152=0,0,$G152/$F152))</f>
        <v/>
      </c>
      <c r="J152" s="8">
        <f>IF($A152="","",IFERROR(MAXIFS(Pagos!$C:$C,Pagos!$A:$A,$A152,Pagos!$F:$F,"Pagado"),""))</f>
        <v/>
      </c>
      <c r="K152" s="8">
        <f>IF($A152="","",IFERROR(MINIFS(Pagos!$C:$C,Pagos!$A:$A,$A152,Pagos!$F:$F,"Programado"),""))</f>
        <v/>
      </c>
      <c r="L152" s="9">
        <f>IF($A152="","",IF($K152="","",$K152-TODAY()))</f>
        <v/>
      </c>
      <c r="M152" s="9">
        <f>IF($A152="","",IF($H152&lt;=0,"Liquidada",IF(AND($K152&lt;&gt;"",$K152&lt;TODAY()),"Vencida",IF($G152&gt;0,"Parcial","Pendiente"))))</f>
        <v/>
      </c>
      <c r="N152" s="3" t="n"/>
      <c r="O152" s="3" t="n"/>
    </row>
    <row r="153">
      <c r="A153" s="3" t="n"/>
      <c r="B153" s="4" t="n"/>
      <c r="C153" s="3" t="n"/>
      <c r="D153" s="3" t="n"/>
      <c r="E153" s="3" t="n"/>
      <c r="F153" s="5" t="n"/>
      <c r="G153" s="6">
        <f>IF($A153="","",SUMIFS(Pagos!$D:$D,Pagos!$A:$A,$A153,Pagos!$F:$F,"Pagado"))</f>
        <v/>
      </c>
      <c r="H153" s="6">
        <f>IF($A153="","",$F153-$G153)</f>
        <v/>
      </c>
      <c r="I153" s="7">
        <f>IF($A153="","",IF($F153=0,0,$G153/$F153))</f>
        <v/>
      </c>
      <c r="J153" s="8">
        <f>IF($A153="","",IFERROR(MAXIFS(Pagos!$C:$C,Pagos!$A:$A,$A153,Pagos!$F:$F,"Pagado"),""))</f>
        <v/>
      </c>
      <c r="K153" s="8">
        <f>IF($A153="","",IFERROR(MINIFS(Pagos!$C:$C,Pagos!$A:$A,$A153,Pagos!$F:$F,"Programado"),""))</f>
        <v/>
      </c>
      <c r="L153" s="9">
        <f>IF($A153="","",IF($K153="","",$K153-TODAY()))</f>
        <v/>
      </c>
      <c r="M153" s="9">
        <f>IF($A153="","",IF($H153&lt;=0,"Liquidada",IF(AND($K153&lt;&gt;"",$K153&lt;TODAY()),"Vencida",IF($G153&gt;0,"Parcial","Pendiente"))))</f>
        <v/>
      </c>
      <c r="N153" s="3" t="n"/>
      <c r="O153" s="3" t="n"/>
    </row>
    <row r="154">
      <c r="A154" s="3" t="n"/>
      <c r="B154" s="4" t="n"/>
      <c r="C154" s="3" t="n"/>
      <c r="D154" s="3" t="n"/>
      <c r="E154" s="3" t="n"/>
      <c r="F154" s="5" t="n"/>
      <c r="G154" s="6">
        <f>IF($A154="","",SUMIFS(Pagos!$D:$D,Pagos!$A:$A,$A154,Pagos!$F:$F,"Pagado"))</f>
        <v/>
      </c>
      <c r="H154" s="6">
        <f>IF($A154="","",$F154-$G154)</f>
        <v/>
      </c>
      <c r="I154" s="7">
        <f>IF($A154="","",IF($F154=0,0,$G154/$F154))</f>
        <v/>
      </c>
      <c r="J154" s="8">
        <f>IF($A154="","",IFERROR(MAXIFS(Pagos!$C:$C,Pagos!$A:$A,$A154,Pagos!$F:$F,"Pagado"),""))</f>
        <v/>
      </c>
      <c r="K154" s="8">
        <f>IF($A154="","",IFERROR(MINIFS(Pagos!$C:$C,Pagos!$A:$A,$A154,Pagos!$F:$F,"Programado"),""))</f>
        <v/>
      </c>
      <c r="L154" s="9">
        <f>IF($A154="","",IF($K154="","",$K154-TODAY()))</f>
        <v/>
      </c>
      <c r="M154" s="9">
        <f>IF($A154="","",IF($H154&lt;=0,"Liquidada",IF(AND($K154&lt;&gt;"",$K154&lt;TODAY()),"Vencida",IF($G154&gt;0,"Parcial","Pendiente"))))</f>
        <v/>
      </c>
      <c r="N154" s="3" t="n"/>
      <c r="O154" s="3" t="n"/>
    </row>
    <row r="155">
      <c r="A155" s="3" t="n"/>
      <c r="B155" s="4" t="n"/>
      <c r="C155" s="3" t="n"/>
      <c r="D155" s="3" t="n"/>
      <c r="E155" s="3" t="n"/>
      <c r="F155" s="5" t="n"/>
      <c r="G155" s="6">
        <f>IF($A155="","",SUMIFS(Pagos!$D:$D,Pagos!$A:$A,$A155,Pagos!$F:$F,"Pagado"))</f>
        <v/>
      </c>
      <c r="H155" s="6">
        <f>IF($A155="","",$F155-$G155)</f>
        <v/>
      </c>
      <c r="I155" s="7">
        <f>IF($A155="","",IF($F155=0,0,$G155/$F155))</f>
        <v/>
      </c>
      <c r="J155" s="8">
        <f>IF($A155="","",IFERROR(MAXIFS(Pagos!$C:$C,Pagos!$A:$A,$A155,Pagos!$F:$F,"Pagado"),""))</f>
        <v/>
      </c>
      <c r="K155" s="8">
        <f>IF($A155="","",IFERROR(MINIFS(Pagos!$C:$C,Pagos!$A:$A,$A155,Pagos!$F:$F,"Programado"),""))</f>
        <v/>
      </c>
      <c r="L155" s="9">
        <f>IF($A155="","",IF($K155="","",$K155-TODAY()))</f>
        <v/>
      </c>
      <c r="M155" s="9">
        <f>IF($A155="","",IF($H155&lt;=0,"Liquidada",IF(AND($K155&lt;&gt;"",$K155&lt;TODAY()),"Vencida",IF($G155&gt;0,"Parcial","Pendiente"))))</f>
        <v/>
      </c>
      <c r="N155" s="3" t="n"/>
      <c r="O155" s="3" t="n"/>
    </row>
    <row r="156">
      <c r="A156" s="3" t="n"/>
      <c r="B156" s="4" t="n"/>
      <c r="C156" s="3" t="n"/>
      <c r="D156" s="3" t="n"/>
      <c r="E156" s="3" t="n"/>
      <c r="F156" s="5" t="n"/>
      <c r="G156" s="6">
        <f>IF($A156="","",SUMIFS(Pagos!$D:$D,Pagos!$A:$A,$A156,Pagos!$F:$F,"Pagado"))</f>
        <v/>
      </c>
      <c r="H156" s="6">
        <f>IF($A156="","",$F156-$G156)</f>
        <v/>
      </c>
      <c r="I156" s="7">
        <f>IF($A156="","",IF($F156=0,0,$G156/$F156))</f>
        <v/>
      </c>
      <c r="J156" s="8">
        <f>IF($A156="","",IFERROR(MAXIFS(Pagos!$C:$C,Pagos!$A:$A,$A156,Pagos!$F:$F,"Pagado"),""))</f>
        <v/>
      </c>
      <c r="K156" s="8">
        <f>IF($A156="","",IFERROR(MINIFS(Pagos!$C:$C,Pagos!$A:$A,$A156,Pagos!$F:$F,"Programado"),""))</f>
        <v/>
      </c>
      <c r="L156" s="9">
        <f>IF($A156="","",IF($K156="","",$K156-TODAY()))</f>
        <v/>
      </c>
      <c r="M156" s="9">
        <f>IF($A156="","",IF($H156&lt;=0,"Liquidada",IF(AND($K156&lt;&gt;"",$K156&lt;TODAY()),"Vencida",IF($G156&gt;0,"Parcial","Pendiente"))))</f>
        <v/>
      </c>
      <c r="N156" s="3" t="n"/>
      <c r="O156" s="3" t="n"/>
    </row>
    <row r="157">
      <c r="A157" s="3" t="n"/>
      <c r="B157" s="4" t="n"/>
      <c r="C157" s="3" t="n"/>
      <c r="D157" s="3" t="n"/>
      <c r="E157" s="3" t="n"/>
      <c r="F157" s="5" t="n"/>
      <c r="G157" s="6">
        <f>IF($A157="","",SUMIFS(Pagos!$D:$D,Pagos!$A:$A,$A157,Pagos!$F:$F,"Pagado"))</f>
        <v/>
      </c>
      <c r="H157" s="6">
        <f>IF($A157="","",$F157-$G157)</f>
        <v/>
      </c>
      <c r="I157" s="7">
        <f>IF($A157="","",IF($F157=0,0,$G157/$F157))</f>
        <v/>
      </c>
      <c r="J157" s="8">
        <f>IF($A157="","",IFERROR(MAXIFS(Pagos!$C:$C,Pagos!$A:$A,$A157,Pagos!$F:$F,"Pagado"),""))</f>
        <v/>
      </c>
      <c r="K157" s="8">
        <f>IF($A157="","",IFERROR(MINIFS(Pagos!$C:$C,Pagos!$A:$A,$A157,Pagos!$F:$F,"Programado"),""))</f>
        <v/>
      </c>
      <c r="L157" s="9">
        <f>IF($A157="","",IF($K157="","",$K157-TODAY()))</f>
        <v/>
      </c>
      <c r="M157" s="9">
        <f>IF($A157="","",IF($H157&lt;=0,"Liquidada",IF(AND($K157&lt;&gt;"",$K157&lt;TODAY()),"Vencida",IF($G157&gt;0,"Parcial","Pendiente"))))</f>
        <v/>
      </c>
      <c r="N157" s="3" t="n"/>
      <c r="O157" s="3" t="n"/>
    </row>
    <row r="158">
      <c r="A158" s="3" t="n"/>
      <c r="B158" s="4" t="n"/>
      <c r="C158" s="3" t="n"/>
      <c r="D158" s="3" t="n"/>
      <c r="E158" s="3" t="n"/>
      <c r="F158" s="5" t="n"/>
      <c r="G158" s="6">
        <f>IF($A158="","",SUMIFS(Pagos!$D:$D,Pagos!$A:$A,$A158,Pagos!$F:$F,"Pagado"))</f>
        <v/>
      </c>
      <c r="H158" s="6">
        <f>IF($A158="","",$F158-$G158)</f>
        <v/>
      </c>
      <c r="I158" s="7">
        <f>IF($A158="","",IF($F158=0,0,$G158/$F158))</f>
        <v/>
      </c>
      <c r="J158" s="8">
        <f>IF($A158="","",IFERROR(MAXIFS(Pagos!$C:$C,Pagos!$A:$A,$A158,Pagos!$F:$F,"Pagado"),""))</f>
        <v/>
      </c>
      <c r="K158" s="8">
        <f>IF($A158="","",IFERROR(MINIFS(Pagos!$C:$C,Pagos!$A:$A,$A158,Pagos!$F:$F,"Programado"),""))</f>
        <v/>
      </c>
      <c r="L158" s="9">
        <f>IF($A158="","",IF($K158="","",$K158-TODAY()))</f>
        <v/>
      </c>
      <c r="M158" s="9">
        <f>IF($A158="","",IF($H158&lt;=0,"Liquidada",IF(AND($K158&lt;&gt;"",$K158&lt;TODAY()),"Vencida",IF($G158&gt;0,"Parcial","Pendiente"))))</f>
        <v/>
      </c>
      <c r="N158" s="3" t="n"/>
      <c r="O158" s="3" t="n"/>
    </row>
    <row r="159">
      <c r="A159" s="3" t="n"/>
      <c r="B159" s="4" t="n"/>
      <c r="C159" s="3" t="n"/>
      <c r="D159" s="3" t="n"/>
      <c r="E159" s="3" t="n"/>
      <c r="F159" s="5" t="n"/>
      <c r="G159" s="6">
        <f>IF($A159="","",SUMIFS(Pagos!$D:$D,Pagos!$A:$A,$A159,Pagos!$F:$F,"Pagado"))</f>
        <v/>
      </c>
      <c r="H159" s="6">
        <f>IF($A159="","",$F159-$G159)</f>
        <v/>
      </c>
      <c r="I159" s="7">
        <f>IF($A159="","",IF($F159=0,0,$G159/$F159))</f>
        <v/>
      </c>
      <c r="J159" s="8">
        <f>IF($A159="","",IFERROR(MAXIFS(Pagos!$C:$C,Pagos!$A:$A,$A159,Pagos!$F:$F,"Pagado"),""))</f>
        <v/>
      </c>
      <c r="K159" s="8">
        <f>IF($A159="","",IFERROR(MINIFS(Pagos!$C:$C,Pagos!$A:$A,$A159,Pagos!$F:$F,"Programado"),""))</f>
        <v/>
      </c>
      <c r="L159" s="9">
        <f>IF($A159="","",IF($K159="","",$K159-TODAY()))</f>
        <v/>
      </c>
      <c r="M159" s="9">
        <f>IF($A159="","",IF($H159&lt;=0,"Liquidada",IF(AND($K159&lt;&gt;"",$K159&lt;TODAY()),"Vencida",IF($G159&gt;0,"Parcial","Pendiente"))))</f>
        <v/>
      </c>
      <c r="N159" s="3" t="n"/>
      <c r="O159" s="3" t="n"/>
    </row>
    <row r="160">
      <c r="A160" s="3" t="n"/>
      <c r="B160" s="4" t="n"/>
      <c r="C160" s="3" t="n"/>
      <c r="D160" s="3" t="n"/>
      <c r="E160" s="3" t="n"/>
      <c r="F160" s="5" t="n"/>
      <c r="G160" s="6">
        <f>IF($A160="","",SUMIFS(Pagos!$D:$D,Pagos!$A:$A,$A160,Pagos!$F:$F,"Pagado"))</f>
        <v/>
      </c>
      <c r="H160" s="6">
        <f>IF($A160="","",$F160-$G160)</f>
        <v/>
      </c>
      <c r="I160" s="7">
        <f>IF($A160="","",IF($F160=0,0,$G160/$F160))</f>
        <v/>
      </c>
      <c r="J160" s="8">
        <f>IF($A160="","",IFERROR(MAXIFS(Pagos!$C:$C,Pagos!$A:$A,$A160,Pagos!$F:$F,"Pagado"),""))</f>
        <v/>
      </c>
      <c r="K160" s="8">
        <f>IF($A160="","",IFERROR(MINIFS(Pagos!$C:$C,Pagos!$A:$A,$A160,Pagos!$F:$F,"Programado"),""))</f>
        <v/>
      </c>
      <c r="L160" s="9">
        <f>IF($A160="","",IF($K160="","",$K160-TODAY()))</f>
        <v/>
      </c>
      <c r="M160" s="9">
        <f>IF($A160="","",IF($H160&lt;=0,"Liquidada",IF(AND($K160&lt;&gt;"",$K160&lt;TODAY()),"Vencida",IF($G160&gt;0,"Parcial","Pendiente"))))</f>
        <v/>
      </c>
      <c r="N160" s="3" t="n"/>
      <c r="O160" s="3" t="n"/>
    </row>
    <row r="161">
      <c r="A161" s="3" t="n"/>
      <c r="B161" s="4" t="n"/>
      <c r="C161" s="3" t="n"/>
      <c r="D161" s="3" t="n"/>
      <c r="E161" s="3" t="n"/>
      <c r="F161" s="5" t="n"/>
      <c r="G161" s="6">
        <f>IF($A161="","",SUMIFS(Pagos!$D:$D,Pagos!$A:$A,$A161,Pagos!$F:$F,"Pagado"))</f>
        <v/>
      </c>
      <c r="H161" s="6">
        <f>IF($A161="","",$F161-$G161)</f>
        <v/>
      </c>
      <c r="I161" s="7">
        <f>IF($A161="","",IF($F161=0,0,$G161/$F161))</f>
        <v/>
      </c>
      <c r="J161" s="8">
        <f>IF($A161="","",IFERROR(MAXIFS(Pagos!$C:$C,Pagos!$A:$A,$A161,Pagos!$F:$F,"Pagado"),""))</f>
        <v/>
      </c>
      <c r="K161" s="8">
        <f>IF($A161="","",IFERROR(MINIFS(Pagos!$C:$C,Pagos!$A:$A,$A161,Pagos!$F:$F,"Programado"),""))</f>
        <v/>
      </c>
      <c r="L161" s="9">
        <f>IF($A161="","",IF($K161="","",$K161-TODAY()))</f>
        <v/>
      </c>
      <c r="M161" s="9">
        <f>IF($A161="","",IF($H161&lt;=0,"Liquidada",IF(AND($K161&lt;&gt;"",$K161&lt;TODAY()),"Vencida",IF($G161&gt;0,"Parcial","Pendiente"))))</f>
        <v/>
      </c>
      <c r="N161" s="3" t="n"/>
      <c r="O161" s="3" t="n"/>
    </row>
    <row r="162">
      <c r="A162" s="3" t="n"/>
      <c r="B162" s="4" t="n"/>
      <c r="C162" s="3" t="n"/>
      <c r="D162" s="3" t="n"/>
      <c r="E162" s="3" t="n"/>
      <c r="F162" s="5" t="n"/>
      <c r="G162" s="6">
        <f>IF($A162="","",SUMIFS(Pagos!$D:$D,Pagos!$A:$A,$A162,Pagos!$F:$F,"Pagado"))</f>
        <v/>
      </c>
      <c r="H162" s="6">
        <f>IF($A162="","",$F162-$G162)</f>
        <v/>
      </c>
      <c r="I162" s="7">
        <f>IF($A162="","",IF($F162=0,0,$G162/$F162))</f>
        <v/>
      </c>
      <c r="J162" s="8">
        <f>IF($A162="","",IFERROR(MAXIFS(Pagos!$C:$C,Pagos!$A:$A,$A162,Pagos!$F:$F,"Pagado"),""))</f>
        <v/>
      </c>
      <c r="K162" s="8">
        <f>IF($A162="","",IFERROR(MINIFS(Pagos!$C:$C,Pagos!$A:$A,$A162,Pagos!$F:$F,"Programado"),""))</f>
        <v/>
      </c>
      <c r="L162" s="9">
        <f>IF($A162="","",IF($K162="","",$K162-TODAY()))</f>
        <v/>
      </c>
      <c r="M162" s="9">
        <f>IF($A162="","",IF($H162&lt;=0,"Liquidada",IF(AND($K162&lt;&gt;"",$K162&lt;TODAY()),"Vencida",IF($G162&gt;0,"Parcial","Pendiente"))))</f>
        <v/>
      </c>
      <c r="N162" s="3" t="n"/>
      <c r="O162" s="3" t="n"/>
    </row>
    <row r="163">
      <c r="A163" s="3" t="n"/>
      <c r="B163" s="4" t="n"/>
      <c r="C163" s="3" t="n"/>
      <c r="D163" s="3" t="n"/>
      <c r="E163" s="3" t="n"/>
      <c r="F163" s="5" t="n"/>
      <c r="G163" s="6">
        <f>IF($A163="","",SUMIFS(Pagos!$D:$D,Pagos!$A:$A,$A163,Pagos!$F:$F,"Pagado"))</f>
        <v/>
      </c>
      <c r="H163" s="6">
        <f>IF($A163="","",$F163-$G163)</f>
        <v/>
      </c>
      <c r="I163" s="7">
        <f>IF($A163="","",IF($F163=0,0,$G163/$F163))</f>
        <v/>
      </c>
      <c r="J163" s="8">
        <f>IF($A163="","",IFERROR(MAXIFS(Pagos!$C:$C,Pagos!$A:$A,$A163,Pagos!$F:$F,"Pagado"),""))</f>
        <v/>
      </c>
      <c r="K163" s="8">
        <f>IF($A163="","",IFERROR(MINIFS(Pagos!$C:$C,Pagos!$A:$A,$A163,Pagos!$F:$F,"Programado"),""))</f>
        <v/>
      </c>
      <c r="L163" s="9">
        <f>IF($A163="","",IF($K163="","",$K163-TODAY()))</f>
        <v/>
      </c>
      <c r="M163" s="9">
        <f>IF($A163="","",IF($H163&lt;=0,"Liquidada",IF(AND($K163&lt;&gt;"",$K163&lt;TODAY()),"Vencida",IF($G163&gt;0,"Parcial","Pendiente"))))</f>
        <v/>
      </c>
      <c r="N163" s="3" t="n"/>
      <c r="O163" s="3" t="n"/>
    </row>
    <row r="164">
      <c r="A164" s="3" t="n"/>
      <c r="B164" s="4" t="n"/>
      <c r="C164" s="3" t="n"/>
      <c r="D164" s="3" t="n"/>
      <c r="E164" s="3" t="n"/>
      <c r="F164" s="5" t="n"/>
      <c r="G164" s="6">
        <f>IF($A164="","",SUMIFS(Pagos!$D:$D,Pagos!$A:$A,$A164,Pagos!$F:$F,"Pagado"))</f>
        <v/>
      </c>
      <c r="H164" s="6">
        <f>IF($A164="","",$F164-$G164)</f>
        <v/>
      </c>
      <c r="I164" s="7">
        <f>IF($A164="","",IF($F164=0,0,$G164/$F164))</f>
        <v/>
      </c>
      <c r="J164" s="8">
        <f>IF($A164="","",IFERROR(MAXIFS(Pagos!$C:$C,Pagos!$A:$A,$A164,Pagos!$F:$F,"Pagado"),""))</f>
        <v/>
      </c>
      <c r="K164" s="8">
        <f>IF($A164="","",IFERROR(MINIFS(Pagos!$C:$C,Pagos!$A:$A,$A164,Pagos!$F:$F,"Programado"),""))</f>
        <v/>
      </c>
      <c r="L164" s="9">
        <f>IF($A164="","",IF($K164="","",$K164-TODAY()))</f>
        <v/>
      </c>
      <c r="M164" s="9">
        <f>IF($A164="","",IF($H164&lt;=0,"Liquidada",IF(AND($K164&lt;&gt;"",$K164&lt;TODAY()),"Vencida",IF($G164&gt;0,"Parcial","Pendiente"))))</f>
        <v/>
      </c>
      <c r="N164" s="3" t="n"/>
      <c r="O164" s="3" t="n"/>
    </row>
    <row r="165">
      <c r="A165" s="3" t="n"/>
      <c r="B165" s="4" t="n"/>
      <c r="C165" s="3" t="n"/>
      <c r="D165" s="3" t="n"/>
      <c r="E165" s="3" t="n"/>
      <c r="F165" s="5" t="n"/>
      <c r="G165" s="6">
        <f>IF($A165="","",SUMIFS(Pagos!$D:$D,Pagos!$A:$A,$A165,Pagos!$F:$F,"Pagado"))</f>
        <v/>
      </c>
      <c r="H165" s="6">
        <f>IF($A165="","",$F165-$G165)</f>
        <v/>
      </c>
      <c r="I165" s="7">
        <f>IF($A165="","",IF($F165=0,0,$G165/$F165))</f>
        <v/>
      </c>
      <c r="J165" s="8">
        <f>IF($A165="","",IFERROR(MAXIFS(Pagos!$C:$C,Pagos!$A:$A,$A165,Pagos!$F:$F,"Pagado"),""))</f>
        <v/>
      </c>
      <c r="K165" s="8">
        <f>IF($A165="","",IFERROR(MINIFS(Pagos!$C:$C,Pagos!$A:$A,$A165,Pagos!$F:$F,"Programado"),""))</f>
        <v/>
      </c>
      <c r="L165" s="9">
        <f>IF($A165="","",IF($K165="","",$K165-TODAY()))</f>
        <v/>
      </c>
      <c r="M165" s="9">
        <f>IF($A165="","",IF($H165&lt;=0,"Liquidada",IF(AND($K165&lt;&gt;"",$K165&lt;TODAY()),"Vencida",IF($G165&gt;0,"Parcial","Pendiente"))))</f>
        <v/>
      </c>
      <c r="N165" s="3" t="n"/>
      <c r="O165" s="3" t="n"/>
    </row>
    <row r="166">
      <c r="A166" s="3" t="n"/>
      <c r="B166" s="4" t="n"/>
      <c r="C166" s="3" t="n"/>
      <c r="D166" s="3" t="n"/>
      <c r="E166" s="3" t="n"/>
      <c r="F166" s="5" t="n"/>
      <c r="G166" s="6">
        <f>IF($A166="","",SUMIFS(Pagos!$D:$D,Pagos!$A:$A,$A166,Pagos!$F:$F,"Pagado"))</f>
        <v/>
      </c>
      <c r="H166" s="6">
        <f>IF($A166="","",$F166-$G166)</f>
        <v/>
      </c>
      <c r="I166" s="7">
        <f>IF($A166="","",IF($F166=0,0,$G166/$F166))</f>
        <v/>
      </c>
      <c r="J166" s="8">
        <f>IF($A166="","",IFERROR(MAXIFS(Pagos!$C:$C,Pagos!$A:$A,$A166,Pagos!$F:$F,"Pagado"),""))</f>
        <v/>
      </c>
      <c r="K166" s="8">
        <f>IF($A166="","",IFERROR(MINIFS(Pagos!$C:$C,Pagos!$A:$A,$A166,Pagos!$F:$F,"Programado"),""))</f>
        <v/>
      </c>
      <c r="L166" s="9">
        <f>IF($A166="","",IF($K166="","",$K166-TODAY()))</f>
        <v/>
      </c>
      <c r="M166" s="9">
        <f>IF($A166="","",IF($H166&lt;=0,"Liquidada",IF(AND($K166&lt;&gt;"",$K166&lt;TODAY()),"Vencida",IF($G166&gt;0,"Parcial","Pendiente"))))</f>
        <v/>
      </c>
      <c r="N166" s="3" t="n"/>
      <c r="O166" s="3" t="n"/>
    </row>
    <row r="167">
      <c r="A167" s="3" t="n"/>
      <c r="B167" s="4" t="n"/>
      <c r="C167" s="3" t="n"/>
      <c r="D167" s="3" t="n"/>
      <c r="E167" s="3" t="n"/>
      <c r="F167" s="5" t="n"/>
      <c r="G167" s="6">
        <f>IF($A167="","",SUMIFS(Pagos!$D:$D,Pagos!$A:$A,$A167,Pagos!$F:$F,"Pagado"))</f>
        <v/>
      </c>
      <c r="H167" s="6">
        <f>IF($A167="","",$F167-$G167)</f>
        <v/>
      </c>
      <c r="I167" s="7">
        <f>IF($A167="","",IF($F167=0,0,$G167/$F167))</f>
        <v/>
      </c>
      <c r="J167" s="8">
        <f>IF($A167="","",IFERROR(MAXIFS(Pagos!$C:$C,Pagos!$A:$A,$A167,Pagos!$F:$F,"Pagado"),""))</f>
        <v/>
      </c>
      <c r="K167" s="8">
        <f>IF($A167="","",IFERROR(MINIFS(Pagos!$C:$C,Pagos!$A:$A,$A167,Pagos!$F:$F,"Programado"),""))</f>
        <v/>
      </c>
      <c r="L167" s="9">
        <f>IF($A167="","",IF($K167="","",$K167-TODAY()))</f>
        <v/>
      </c>
      <c r="M167" s="9">
        <f>IF($A167="","",IF($H167&lt;=0,"Liquidada",IF(AND($K167&lt;&gt;"",$K167&lt;TODAY()),"Vencida",IF($G167&gt;0,"Parcial","Pendiente"))))</f>
        <v/>
      </c>
      <c r="N167" s="3" t="n"/>
      <c r="O167" s="3" t="n"/>
    </row>
    <row r="168">
      <c r="A168" s="3" t="n"/>
      <c r="B168" s="4" t="n"/>
      <c r="C168" s="3" t="n"/>
      <c r="D168" s="3" t="n"/>
      <c r="E168" s="3" t="n"/>
      <c r="F168" s="5" t="n"/>
      <c r="G168" s="6">
        <f>IF($A168="","",SUMIFS(Pagos!$D:$D,Pagos!$A:$A,$A168,Pagos!$F:$F,"Pagado"))</f>
        <v/>
      </c>
      <c r="H168" s="6">
        <f>IF($A168="","",$F168-$G168)</f>
        <v/>
      </c>
      <c r="I168" s="7">
        <f>IF($A168="","",IF($F168=0,0,$G168/$F168))</f>
        <v/>
      </c>
      <c r="J168" s="8">
        <f>IF($A168="","",IFERROR(MAXIFS(Pagos!$C:$C,Pagos!$A:$A,$A168,Pagos!$F:$F,"Pagado"),""))</f>
        <v/>
      </c>
      <c r="K168" s="8">
        <f>IF($A168="","",IFERROR(MINIFS(Pagos!$C:$C,Pagos!$A:$A,$A168,Pagos!$F:$F,"Programado"),""))</f>
        <v/>
      </c>
      <c r="L168" s="9">
        <f>IF($A168="","",IF($K168="","",$K168-TODAY()))</f>
        <v/>
      </c>
      <c r="M168" s="9">
        <f>IF($A168="","",IF($H168&lt;=0,"Liquidada",IF(AND($K168&lt;&gt;"",$K168&lt;TODAY()),"Vencida",IF($G168&gt;0,"Parcial","Pendiente"))))</f>
        <v/>
      </c>
      <c r="N168" s="3" t="n"/>
      <c r="O168" s="3" t="n"/>
    </row>
    <row r="169">
      <c r="A169" s="3" t="n"/>
      <c r="B169" s="4" t="n"/>
      <c r="C169" s="3" t="n"/>
      <c r="D169" s="3" t="n"/>
      <c r="E169" s="3" t="n"/>
      <c r="F169" s="5" t="n"/>
      <c r="G169" s="6">
        <f>IF($A169="","",SUMIFS(Pagos!$D:$D,Pagos!$A:$A,$A169,Pagos!$F:$F,"Pagado"))</f>
        <v/>
      </c>
      <c r="H169" s="6">
        <f>IF($A169="","",$F169-$G169)</f>
        <v/>
      </c>
      <c r="I169" s="7">
        <f>IF($A169="","",IF($F169=0,0,$G169/$F169))</f>
        <v/>
      </c>
      <c r="J169" s="8">
        <f>IF($A169="","",IFERROR(MAXIFS(Pagos!$C:$C,Pagos!$A:$A,$A169,Pagos!$F:$F,"Pagado"),""))</f>
        <v/>
      </c>
      <c r="K169" s="8">
        <f>IF($A169="","",IFERROR(MINIFS(Pagos!$C:$C,Pagos!$A:$A,$A169,Pagos!$F:$F,"Programado"),""))</f>
        <v/>
      </c>
      <c r="L169" s="9">
        <f>IF($A169="","",IF($K169="","",$K169-TODAY()))</f>
        <v/>
      </c>
      <c r="M169" s="9">
        <f>IF($A169="","",IF($H169&lt;=0,"Liquidada",IF(AND($K169&lt;&gt;"",$K169&lt;TODAY()),"Vencida",IF($G169&gt;0,"Parcial","Pendiente"))))</f>
        <v/>
      </c>
      <c r="N169" s="3" t="n"/>
      <c r="O169" s="3" t="n"/>
    </row>
    <row r="170">
      <c r="A170" s="3" t="n"/>
      <c r="B170" s="4" t="n"/>
      <c r="C170" s="3" t="n"/>
      <c r="D170" s="3" t="n"/>
      <c r="E170" s="3" t="n"/>
      <c r="F170" s="5" t="n"/>
      <c r="G170" s="6">
        <f>IF($A170="","",SUMIFS(Pagos!$D:$D,Pagos!$A:$A,$A170,Pagos!$F:$F,"Pagado"))</f>
        <v/>
      </c>
      <c r="H170" s="6">
        <f>IF($A170="","",$F170-$G170)</f>
        <v/>
      </c>
      <c r="I170" s="7">
        <f>IF($A170="","",IF($F170=0,0,$G170/$F170))</f>
        <v/>
      </c>
      <c r="J170" s="8">
        <f>IF($A170="","",IFERROR(MAXIFS(Pagos!$C:$C,Pagos!$A:$A,$A170,Pagos!$F:$F,"Pagado"),""))</f>
        <v/>
      </c>
      <c r="K170" s="8">
        <f>IF($A170="","",IFERROR(MINIFS(Pagos!$C:$C,Pagos!$A:$A,$A170,Pagos!$F:$F,"Programado"),""))</f>
        <v/>
      </c>
      <c r="L170" s="9">
        <f>IF($A170="","",IF($K170="","",$K170-TODAY()))</f>
        <v/>
      </c>
      <c r="M170" s="9">
        <f>IF($A170="","",IF($H170&lt;=0,"Liquidada",IF(AND($K170&lt;&gt;"",$K170&lt;TODAY()),"Vencida",IF($G170&gt;0,"Parcial","Pendiente"))))</f>
        <v/>
      </c>
      <c r="N170" s="3" t="n"/>
      <c r="O170" s="3" t="n"/>
    </row>
    <row r="171">
      <c r="A171" s="3" t="n"/>
      <c r="B171" s="4" t="n"/>
      <c r="C171" s="3" t="n"/>
      <c r="D171" s="3" t="n"/>
      <c r="E171" s="3" t="n"/>
      <c r="F171" s="5" t="n"/>
      <c r="G171" s="6">
        <f>IF($A171="","",SUMIFS(Pagos!$D:$D,Pagos!$A:$A,$A171,Pagos!$F:$F,"Pagado"))</f>
        <v/>
      </c>
      <c r="H171" s="6">
        <f>IF($A171="","",$F171-$G171)</f>
        <v/>
      </c>
      <c r="I171" s="7">
        <f>IF($A171="","",IF($F171=0,0,$G171/$F171))</f>
        <v/>
      </c>
      <c r="J171" s="8">
        <f>IF($A171="","",IFERROR(MAXIFS(Pagos!$C:$C,Pagos!$A:$A,$A171,Pagos!$F:$F,"Pagado"),""))</f>
        <v/>
      </c>
      <c r="K171" s="8">
        <f>IF($A171="","",IFERROR(MINIFS(Pagos!$C:$C,Pagos!$A:$A,$A171,Pagos!$F:$F,"Programado"),""))</f>
        <v/>
      </c>
      <c r="L171" s="9">
        <f>IF($A171="","",IF($K171="","",$K171-TODAY()))</f>
        <v/>
      </c>
      <c r="M171" s="9">
        <f>IF($A171="","",IF($H171&lt;=0,"Liquidada",IF(AND($K171&lt;&gt;"",$K171&lt;TODAY()),"Vencida",IF($G171&gt;0,"Parcial","Pendiente"))))</f>
        <v/>
      </c>
      <c r="N171" s="3" t="n"/>
      <c r="O171" s="3" t="n"/>
    </row>
    <row r="172">
      <c r="A172" s="3" t="n"/>
      <c r="B172" s="4" t="n"/>
      <c r="C172" s="3" t="n"/>
      <c r="D172" s="3" t="n"/>
      <c r="E172" s="3" t="n"/>
      <c r="F172" s="5" t="n"/>
      <c r="G172" s="6">
        <f>IF($A172="","",SUMIFS(Pagos!$D:$D,Pagos!$A:$A,$A172,Pagos!$F:$F,"Pagado"))</f>
        <v/>
      </c>
      <c r="H172" s="6">
        <f>IF($A172="","",$F172-$G172)</f>
        <v/>
      </c>
      <c r="I172" s="7">
        <f>IF($A172="","",IF($F172=0,0,$G172/$F172))</f>
        <v/>
      </c>
      <c r="J172" s="8">
        <f>IF($A172="","",IFERROR(MAXIFS(Pagos!$C:$C,Pagos!$A:$A,$A172,Pagos!$F:$F,"Pagado"),""))</f>
        <v/>
      </c>
      <c r="K172" s="8">
        <f>IF($A172="","",IFERROR(MINIFS(Pagos!$C:$C,Pagos!$A:$A,$A172,Pagos!$F:$F,"Programado"),""))</f>
        <v/>
      </c>
      <c r="L172" s="9">
        <f>IF($A172="","",IF($K172="","",$K172-TODAY()))</f>
        <v/>
      </c>
      <c r="M172" s="9">
        <f>IF($A172="","",IF($H172&lt;=0,"Liquidada",IF(AND($K172&lt;&gt;"",$K172&lt;TODAY()),"Vencida",IF($G172&gt;0,"Parcial","Pendiente"))))</f>
        <v/>
      </c>
      <c r="N172" s="3" t="n"/>
      <c r="O172" s="3" t="n"/>
    </row>
    <row r="173">
      <c r="A173" s="3" t="n"/>
      <c r="B173" s="4" t="n"/>
      <c r="C173" s="3" t="n"/>
      <c r="D173" s="3" t="n"/>
      <c r="E173" s="3" t="n"/>
      <c r="F173" s="5" t="n"/>
      <c r="G173" s="6">
        <f>IF($A173="","",SUMIFS(Pagos!$D:$D,Pagos!$A:$A,$A173,Pagos!$F:$F,"Pagado"))</f>
        <v/>
      </c>
      <c r="H173" s="6">
        <f>IF($A173="","",$F173-$G173)</f>
        <v/>
      </c>
      <c r="I173" s="7">
        <f>IF($A173="","",IF($F173=0,0,$G173/$F173))</f>
        <v/>
      </c>
      <c r="J173" s="8">
        <f>IF($A173="","",IFERROR(MAXIFS(Pagos!$C:$C,Pagos!$A:$A,$A173,Pagos!$F:$F,"Pagado"),""))</f>
        <v/>
      </c>
      <c r="K173" s="8">
        <f>IF($A173="","",IFERROR(MINIFS(Pagos!$C:$C,Pagos!$A:$A,$A173,Pagos!$F:$F,"Programado"),""))</f>
        <v/>
      </c>
      <c r="L173" s="9">
        <f>IF($A173="","",IF($K173="","",$K173-TODAY()))</f>
        <v/>
      </c>
      <c r="M173" s="9">
        <f>IF($A173="","",IF($H173&lt;=0,"Liquidada",IF(AND($K173&lt;&gt;"",$K173&lt;TODAY()),"Vencida",IF($G173&gt;0,"Parcial","Pendiente"))))</f>
        <v/>
      </c>
      <c r="N173" s="3" t="n"/>
      <c r="O173" s="3" t="n"/>
    </row>
    <row r="174">
      <c r="A174" s="3" t="n"/>
      <c r="B174" s="4" t="n"/>
      <c r="C174" s="3" t="n"/>
      <c r="D174" s="3" t="n"/>
      <c r="E174" s="3" t="n"/>
      <c r="F174" s="5" t="n"/>
      <c r="G174" s="6">
        <f>IF($A174="","",SUMIFS(Pagos!$D:$D,Pagos!$A:$A,$A174,Pagos!$F:$F,"Pagado"))</f>
        <v/>
      </c>
      <c r="H174" s="6">
        <f>IF($A174="","",$F174-$G174)</f>
        <v/>
      </c>
      <c r="I174" s="7">
        <f>IF($A174="","",IF($F174=0,0,$G174/$F174))</f>
        <v/>
      </c>
      <c r="J174" s="8">
        <f>IF($A174="","",IFERROR(MAXIFS(Pagos!$C:$C,Pagos!$A:$A,$A174,Pagos!$F:$F,"Pagado"),""))</f>
        <v/>
      </c>
      <c r="K174" s="8">
        <f>IF($A174="","",IFERROR(MINIFS(Pagos!$C:$C,Pagos!$A:$A,$A174,Pagos!$F:$F,"Programado"),""))</f>
        <v/>
      </c>
      <c r="L174" s="9">
        <f>IF($A174="","",IF($K174="","",$K174-TODAY()))</f>
        <v/>
      </c>
      <c r="M174" s="9">
        <f>IF($A174="","",IF($H174&lt;=0,"Liquidada",IF(AND($K174&lt;&gt;"",$K174&lt;TODAY()),"Vencida",IF($G174&gt;0,"Parcial","Pendiente"))))</f>
        <v/>
      </c>
      <c r="N174" s="3" t="n"/>
      <c r="O174" s="3" t="n"/>
    </row>
    <row r="175">
      <c r="A175" s="3" t="n"/>
      <c r="B175" s="4" t="n"/>
      <c r="C175" s="3" t="n"/>
      <c r="D175" s="3" t="n"/>
      <c r="E175" s="3" t="n"/>
      <c r="F175" s="5" t="n"/>
      <c r="G175" s="6">
        <f>IF($A175="","",SUMIFS(Pagos!$D:$D,Pagos!$A:$A,$A175,Pagos!$F:$F,"Pagado"))</f>
        <v/>
      </c>
      <c r="H175" s="6">
        <f>IF($A175="","",$F175-$G175)</f>
        <v/>
      </c>
      <c r="I175" s="7">
        <f>IF($A175="","",IF($F175=0,0,$G175/$F175))</f>
        <v/>
      </c>
      <c r="J175" s="8">
        <f>IF($A175="","",IFERROR(MAXIFS(Pagos!$C:$C,Pagos!$A:$A,$A175,Pagos!$F:$F,"Pagado"),""))</f>
        <v/>
      </c>
      <c r="K175" s="8">
        <f>IF($A175="","",IFERROR(MINIFS(Pagos!$C:$C,Pagos!$A:$A,$A175,Pagos!$F:$F,"Programado"),""))</f>
        <v/>
      </c>
      <c r="L175" s="9">
        <f>IF($A175="","",IF($K175="","",$K175-TODAY()))</f>
        <v/>
      </c>
      <c r="M175" s="9">
        <f>IF($A175="","",IF($H175&lt;=0,"Liquidada",IF(AND($K175&lt;&gt;"",$K175&lt;TODAY()),"Vencida",IF($G175&gt;0,"Parcial","Pendiente"))))</f>
        <v/>
      </c>
      <c r="N175" s="3" t="n"/>
      <c r="O175" s="3" t="n"/>
    </row>
    <row r="176">
      <c r="A176" s="3" t="n"/>
      <c r="B176" s="4" t="n"/>
      <c r="C176" s="3" t="n"/>
      <c r="D176" s="3" t="n"/>
      <c r="E176" s="3" t="n"/>
      <c r="F176" s="5" t="n"/>
      <c r="G176" s="6">
        <f>IF($A176="","",SUMIFS(Pagos!$D:$D,Pagos!$A:$A,$A176,Pagos!$F:$F,"Pagado"))</f>
        <v/>
      </c>
      <c r="H176" s="6">
        <f>IF($A176="","",$F176-$G176)</f>
        <v/>
      </c>
      <c r="I176" s="7">
        <f>IF($A176="","",IF($F176=0,0,$G176/$F176))</f>
        <v/>
      </c>
      <c r="J176" s="8">
        <f>IF($A176="","",IFERROR(MAXIFS(Pagos!$C:$C,Pagos!$A:$A,$A176,Pagos!$F:$F,"Pagado"),""))</f>
        <v/>
      </c>
      <c r="K176" s="8">
        <f>IF($A176="","",IFERROR(MINIFS(Pagos!$C:$C,Pagos!$A:$A,$A176,Pagos!$F:$F,"Programado"),""))</f>
        <v/>
      </c>
      <c r="L176" s="9">
        <f>IF($A176="","",IF($K176="","",$K176-TODAY()))</f>
        <v/>
      </c>
      <c r="M176" s="9">
        <f>IF($A176="","",IF($H176&lt;=0,"Liquidada",IF(AND($K176&lt;&gt;"",$K176&lt;TODAY()),"Vencida",IF($G176&gt;0,"Parcial","Pendiente"))))</f>
        <v/>
      </c>
      <c r="N176" s="3" t="n"/>
      <c r="O176" s="3" t="n"/>
    </row>
    <row r="177">
      <c r="A177" s="3" t="n"/>
      <c r="B177" s="4" t="n"/>
      <c r="C177" s="3" t="n"/>
      <c r="D177" s="3" t="n"/>
      <c r="E177" s="3" t="n"/>
      <c r="F177" s="5" t="n"/>
      <c r="G177" s="6">
        <f>IF($A177="","",SUMIFS(Pagos!$D:$D,Pagos!$A:$A,$A177,Pagos!$F:$F,"Pagado"))</f>
        <v/>
      </c>
      <c r="H177" s="6">
        <f>IF($A177="","",$F177-$G177)</f>
        <v/>
      </c>
      <c r="I177" s="7">
        <f>IF($A177="","",IF($F177=0,0,$G177/$F177))</f>
        <v/>
      </c>
      <c r="J177" s="8">
        <f>IF($A177="","",IFERROR(MAXIFS(Pagos!$C:$C,Pagos!$A:$A,$A177,Pagos!$F:$F,"Pagado"),""))</f>
        <v/>
      </c>
      <c r="K177" s="8">
        <f>IF($A177="","",IFERROR(MINIFS(Pagos!$C:$C,Pagos!$A:$A,$A177,Pagos!$F:$F,"Programado"),""))</f>
        <v/>
      </c>
      <c r="L177" s="9">
        <f>IF($A177="","",IF($K177="","",$K177-TODAY()))</f>
        <v/>
      </c>
      <c r="M177" s="9">
        <f>IF($A177="","",IF($H177&lt;=0,"Liquidada",IF(AND($K177&lt;&gt;"",$K177&lt;TODAY()),"Vencida",IF($G177&gt;0,"Parcial","Pendiente"))))</f>
        <v/>
      </c>
      <c r="N177" s="3" t="n"/>
      <c r="O177" s="3" t="n"/>
    </row>
    <row r="178">
      <c r="A178" s="3" t="n"/>
      <c r="B178" s="4" t="n"/>
      <c r="C178" s="3" t="n"/>
      <c r="D178" s="3" t="n"/>
      <c r="E178" s="3" t="n"/>
      <c r="F178" s="5" t="n"/>
      <c r="G178" s="6">
        <f>IF($A178="","",SUMIFS(Pagos!$D:$D,Pagos!$A:$A,$A178,Pagos!$F:$F,"Pagado"))</f>
        <v/>
      </c>
      <c r="H178" s="6">
        <f>IF($A178="","",$F178-$G178)</f>
        <v/>
      </c>
      <c r="I178" s="7">
        <f>IF($A178="","",IF($F178=0,0,$G178/$F178))</f>
        <v/>
      </c>
      <c r="J178" s="8">
        <f>IF($A178="","",IFERROR(MAXIFS(Pagos!$C:$C,Pagos!$A:$A,$A178,Pagos!$F:$F,"Pagado"),""))</f>
        <v/>
      </c>
      <c r="K178" s="8">
        <f>IF($A178="","",IFERROR(MINIFS(Pagos!$C:$C,Pagos!$A:$A,$A178,Pagos!$F:$F,"Programado"),""))</f>
        <v/>
      </c>
      <c r="L178" s="9">
        <f>IF($A178="","",IF($K178="","",$K178-TODAY()))</f>
        <v/>
      </c>
      <c r="M178" s="9">
        <f>IF($A178="","",IF($H178&lt;=0,"Liquidada",IF(AND($K178&lt;&gt;"",$K178&lt;TODAY()),"Vencida",IF($G178&gt;0,"Parcial","Pendiente"))))</f>
        <v/>
      </c>
      <c r="N178" s="3" t="n"/>
      <c r="O178" s="3" t="n"/>
    </row>
    <row r="179">
      <c r="A179" s="3" t="n"/>
      <c r="B179" s="4" t="n"/>
      <c r="C179" s="3" t="n"/>
      <c r="D179" s="3" t="n"/>
      <c r="E179" s="3" t="n"/>
      <c r="F179" s="5" t="n"/>
      <c r="G179" s="6">
        <f>IF($A179="","",SUMIFS(Pagos!$D:$D,Pagos!$A:$A,$A179,Pagos!$F:$F,"Pagado"))</f>
        <v/>
      </c>
      <c r="H179" s="6">
        <f>IF($A179="","",$F179-$G179)</f>
        <v/>
      </c>
      <c r="I179" s="7">
        <f>IF($A179="","",IF($F179=0,0,$G179/$F179))</f>
        <v/>
      </c>
      <c r="J179" s="8">
        <f>IF($A179="","",IFERROR(MAXIFS(Pagos!$C:$C,Pagos!$A:$A,$A179,Pagos!$F:$F,"Pagado"),""))</f>
        <v/>
      </c>
      <c r="K179" s="8">
        <f>IF($A179="","",IFERROR(MINIFS(Pagos!$C:$C,Pagos!$A:$A,$A179,Pagos!$F:$F,"Programado"),""))</f>
        <v/>
      </c>
      <c r="L179" s="9">
        <f>IF($A179="","",IF($K179="","",$K179-TODAY()))</f>
        <v/>
      </c>
      <c r="M179" s="9">
        <f>IF($A179="","",IF($H179&lt;=0,"Liquidada",IF(AND($K179&lt;&gt;"",$K179&lt;TODAY()),"Vencida",IF($G179&gt;0,"Parcial","Pendiente"))))</f>
        <v/>
      </c>
      <c r="N179" s="3" t="n"/>
      <c r="O179" s="3" t="n"/>
    </row>
    <row r="180">
      <c r="A180" s="3" t="n"/>
      <c r="B180" s="4" t="n"/>
      <c r="C180" s="3" t="n"/>
      <c r="D180" s="3" t="n"/>
      <c r="E180" s="3" t="n"/>
      <c r="F180" s="5" t="n"/>
      <c r="G180" s="6">
        <f>IF($A180="","",SUMIFS(Pagos!$D:$D,Pagos!$A:$A,$A180,Pagos!$F:$F,"Pagado"))</f>
        <v/>
      </c>
      <c r="H180" s="6">
        <f>IF($A180="","",$F180-$G180)</f>
        <v/>
      </c>
      <c r="I180" s="7">
        <f>IF($A180="","",IF($F180=0,0,$G180/$F180))</f>
        <v/>
      </c>
      <c r="J180" s="8">
        <f>IF($A180="","",IFERROR(MAXIFS(Pagos!$C:$C,Pagos!$A:$A,$A180,Pagos!$F:$F,"Pagado"),""))</f>
        <v/>
      </c>
      <c r="K180" s="8">
        <f>IF($A180="","",IFERROR(MINIFS(Pagos!$C:$C,Pagos!$A:$A,$A180,Pagos!$F:$F,"Programado"),""))</f>
        <v/>
      </c>
      <c r="L180" s="9">
        <f>IF($A180="","",IF($K180="","",$K180-TODAY()))</f>
        <v/>
      </c>
      <c r="M180" s="9">
        <f>IF($A180="","",IF($H180&lt;=0,"Liquidada",IF(AND($K180&lt;&gt;"",$K180&lt;TODAY()),"Vencida",IF($G180&gt;0,"Parcial","Pendiente"))))</f>
        <v/>
      </c>
      <c r="N180" s="3" t="n"/>
      <c r="O180" s="3" t="n"/>
    </row>
    <row r="181">
      <c r="A181" s="3" t="n"/>
      <c r="B181" s="4" t="n"/>
      <c r="C181" s="3" t="n"/>
      <c r="D181" s="3" t="n"/>
      <c r="E181" s="3" t="n"/>
      <c r="F181" s="5" t="n"/>
      <c r="G181" s="6">
        <f>IF($A181="","",SUMIFS(Pagos!$D:$D,Pagos!$A:$A,$A181,Pagos!$F:$F,"Pagado"))</f>
        <v/>
      </c>
      <c r="H181" s="6">
        <f>IF($A181="","",$F181-$G181)</f>
        <v/>
      </c>
      <c r="I181" s="7">
        <f>IF($A181="","",IF($F181=0,0,$G181/$F181))</f>
        <v/>
      </c>
      <c r="J181" s="8">
        <f>IF($A181="","",IFERROR(MAXIFS(Pagos!$C:$C,Pagos!$A:$A,$A181,Pagos!$F:$F,"Pagado"),""))</f>
        <v/>
      </c>
      <c r="K181" s="8">
        <f>IF($A181="","",IFERROR(MINIFS(Pagos!$C:$C,Pagos!$A:$A,$A181,Pagos!$F:$F,"Programado"),""))</f>
        <v/>
      </c>
      <c r="L181" s="9">
        <f>IF($A181="","",IF($K181="","",$K181-TODAY()))</f>
        <v/>
      </c>
      <c r="M181" s="9">
        <f>IF($A181="","",IF($H181&lt;=0,"Liquidada",IF(AND($K181&lt;&gt;"",$K181&lt;TODAY()),"Vencida",IF($G181&gt;0,"Parcial","Pendiente"))))</f>
        <v/>
      </c>
      <c r="N181" s="3" t="n"/>
      <c r="O181" s="3" t="n"/>
    </row>
    <row r="182">
      <c r="A182" s="3" t="n"/>
      <c r="B182" s="4" t="n"/>
      <c r="C182" s="3" t="n"/>
      <c r="D182" s="3" t="n"/>
      <c r="E182" s="3" t="n"/>
      <c r="F182" s="5" t="n"/>
      <c r="G182" s="6">
        <f>IF($A182="","",SUMIFS(Pagos!$D:$D,Pagos!$A:$A,$A182,Pagos!$F:$F,"Pagado"))</f>
        <v/>
      </c>
      <c r="H182" s="6">
        <f>IF($A182="","",$F182-$G182)</f>
        <v/>
      </c>
      <c r="I182" s="7">
        <f>IF($A182="","",IF($F182=0,0,$G182/$F182))</f>
        <v/>
      </c>
      <c r="J182" s="8">
        <f>IF($A182="","",IFERROR(MAXIFS(Pagos!$C:$C,Pagos!$A:$A,$A182,Pagos!$F:$F,"Pagado"),""))</f>
        <v/>
      </c>
      <c r="K182" s="8">
        <f>IF($A182="","",IFERROR(MINIFS(Pagos!$C:$C,Pagos!$A:$A,$A182,Pagos!$F:$F,"Programado"),""))</f>
        <v/>
      </c>
      <c r="L182" s="9">
        <f>IF($A182="","",IF($K182="","",$K182-TODAY()))</f>
        <v/>
      </c>
      <c r="M182" s="9">
        <f>IF($A182="","",IF($H182&lt;=0,"Liquidada",IF(AND($K182&lt;&gt;"",$K182&lt;TODAY()),"Vencida",IF($G182&gt;0,"Parcial","Pendiente"))))</f>
        <v/>
      </c>
      <c r="N182" s="3" t="n"/>
      <c r="O182" s="3" t="n"/>
    </row>
    <row r="183">
      <c r="A183" s="3" t="n"/>
      <c r="B183" s="4" t="n"/>
      <c r="C183" s="3" t="n"/>
      <c r="D183" s="3" t="n"/>
      <c r="E183" s="3" t="n"/>
      <c r="F183" s="5" t="n"/>
      <c r="G183" s="6">
        <f>IF($A183="","",SUMIFS(Pagos!$D:$D,Pagos!$A:$A,$A183,Pagos!$F:$F,"Pagado"))</f>
        <v/>
      </c>
      <c r="H183" s="6">
        <f>IF($A183="","",$F183-$G183)</f>
        <v/>
      </c>
      <c r="I183" s="7">
        <f>IF($A183="","",IF($F183=0,0,$G183/$F183))</f>
        <v/>
      </c>
      <c r="J183" s="8">
        <f>IF($A183="","",IFERROR(MAXIFS(Pagos!$C:$C,Pagos!$A:$A,$A183,Pagos!$F:$F,"Pagado"),""))</f>
        <v/>
      </c>
      <c r="K183" s="8">
        <f>IF($A183="","",IFERROR(MINIFS(Pagos!$C:$C,Pagos!$A:$A,$A183,Pagos!$F:$F,"Programado"),""))</f>
        <v/>
      </c>
      <c r="L183" s="9">
        <f>IF($A183="","",IF($K183="","",$K183-TODAY()))</f>
        <v/>
      </c>
      <c r="M183" s="9">
        <f>IF($A183="","",IF($H183&lt;=0,"Liquidada",IF(AND($K183&lt;&gt;"",$K183&lt;TODAY()),"Vencida",IF($G183&gt;0,"Parcial","Pendiente"))))</f>
        <v/>
      </c>
      <c r="N183" s="3" t="n"/>
      <c r="O183" s="3" t="n"/>
    </row>
    <row r="184">
      <c r="A184" s="3" t="n"/>
      <c r="B184" s="4" t="n"/>
      <c r="C184" s="3" t="n"/>
      <c r="D184" s="3" t="n"/>
      <c r="E184" s="3" t="n"/>
      <c r="F184" s="5" t="n"/>
      <c r="G184" s="6">
        <f>IF($A184="","",SUMIFS(Pagos!$D:$D,Pagos!$A:$A,$A184,Pagos!$F:$F,"Pagado"))</f>
        <v/>
      </c>
      <c r="H184" s="6">
        <f>IF($A184="","",$F184-$G184)</f>
        <v/>
      </c>
      <c r="I184" s="7">
        <f>IF($A184="","",IF($F184=0,0,$G184/$F184))</f>
        <v/>
      </c>
      <c r="J184" s="8">
        <f>IF($A184="","",IFERROR(MAXIFS(Pagos!$C:$C,Pagos!$A:$A,$A184,Pagos!$F:$F,"Pagado"),""))</f>
        <v/>
      </c>
      <c r="K184" s="8">
        <f>IF($A184="","",IFERROR(MINIFS(Pagos!$C:$C,Pagos!$A:$A,$A184,Pagos!$F:$F,"Programado"),""))</f>
        <v/>
      </c>
      <c r="L184" s="9">
        <f>IF($A184="","",IF($K184="","",$K184-TODAY()))</f>
        <v/>
      </c>
      <c r="M184" s="9">
        <f>IF($A184="","",IF($H184&lt;=0,"Liquidada",IF(AND($K184&lt;&gt;"",$K184&lt;TODAY()),"Vencida",IF($G184&gt;0,"Parcial","Pendiente"))))</f>
        <v/>
      </c>
      <c r="N184" s="3" t="n"/>
      <c r="O184" s="3" t="n"/>
    </row>
    <row r="185">
      <c r="A185" s="3" t="n"/>
      <c r="B185" s="4" t="n"/>
      <c r="C185" s="3" t="n"/>
      <c r="D185" s="3" t="n"/>
      <c r="E185" s="3" t="n"/>
      <c r="F185" s="5" t="n"/>
      <c r="G185" s="6">
        <f>IF($A185="","",SUMIFS(Pagos!$D:$D,Pagos!$A:$A,$A185,Pagos!$F:$F,"Pagado"))</f>
        <v/>
      </c>
      <c r="H185" s="6">
        <f>IF($A185="","",$F185-$G185)</f>
        <v/>
      </c>
      <c r="I185" s="7">
        <f>IF($A185="","",IF($F185=0,0,$G185/$F185))</f>
        <v/>
      </c>
      <c r="J185" s="8">
        <f>IF($A185="","",IFERROR(MAXIFS(Pagos!$C:$C,Pagos!$A:$A,$A185,Pagos!$F:$F,"Pagado"),""))</f>
        <v/>
      </c>
      <c r="K185" s="8">
        <f>IF($A185="","",IFERROR(MINIFS(Pagos!$C:$C,Pagos!$A:$A,$A185,Pagos!$F:$F,"Programado"),""))</f>
        <v/>
      </c>
      <c r="L185" s="9">
        <f>IF($A185="","",IF($K185="","",$K185-TODAY()))</f>
        <v/>
      </c>
      <c r="M185" s="9">
        <f>IF($A185="","",IF($H185&lt;=0,"Liquidada",IF(AND($K185&lt;&gt;"",$K185&lt;TODAY()),"Vencida",IF($G185&gt;0,"Parcial","Pendiente"))))</f>
        <v/>
      </c>
      <c r="N185" s="3" t="n"/>
      <c r="O185" s="3" t="n"/>
    </row>
    <row r="186">
      <c r="A186" s="3" t="n"/>
      <c r="B186" s="4" t="n"/>
      <c r="C186" s="3" t="n"/>
      <c r="D186" s="3" t="n"/>
      <c r="E186" s="3" t="n"/>
      <c r="F186" s="5" t="n"/>
      <c r="G186" s="6">
        <f>IF($A186="","",SUMIFS(Pagos!$D:$D,Pagos!$A:$A,$A186,Pagos!$F:$F,"Pagado"))</f>
        <v/>
      </c>
      <c r="H186" s="6">
        <f>IF($A186="","",$F186-$G186)</f>
        <v/>
      </c>
      <c r="I186" s="7">
        <f>IF($A186="","",IF($F186=0,0,$G186/$F186))</f>
        <v/>
      </c>
      <c r="J186" s="8">
        <f>IF($A186="","",IFERROR(MAXIFS(Pagos!$C:$C,Pagos!$A:$A,$A186,Pagos!$F:$F,"Pagado"),""))</f>
        <v/>
      </c>
      <c r="K186" s="8">
        <f>IF($A186="","",IFERROR(MINIFS(Pagos!$C:$C,Pagos!$A:$A,$A186,Pagos!$F:$F,"Programado"),""))</f>
        <v/>
      </c>
      <c r="L186" s="9">
        <f>IF($A186="","",IF($K186="","",$K186-TODAY()))</f>
        <v/>
      </c>
      <c r="M186" s="9">
        <f>IF($A186="","",IF($H186&lt;=0,"Liquidada",IF(AND($K186&lt;&gt;"",$K186&lt;TODAY()),"Vencida",IF($G186&gt;0,"Parcial","Pendiente"))))</f>
        <v/>
      </c>
      <c r="N186" s="3" t="n"/>
      <c r="O186" s="3" t="n"/>
    </row>
    <row r="187">
      <c r="A187" s="3" t="n"/>
      <c r="B187" s="4" t="n"/>
      <c r="C187" s="3" t="n"/>
      <c r="D187" s="3" t="n"/>
      <c r="E187" s="3" t="n"/>
      <c r="F187" s="5" t="n"/>
      <c r="G187" s="6">
        <f>IF($A187="","",SUMIFS(Pagos!$D:$D,Pagos!$A:$A,$A187,Pagos!$F:$F,"Pagado"))</f>
        <v/>
      </c>
      <c r="H187" s="6">
        <f>IF($A187="","",$F187-$G187)</f>
        <v/>
      </c>
      <c r="I187" s="7">
        <f>IF($A187="","",IF($F187=0,0,$G187/$F187))</f>
        <v/>
      </c>
      <c r="J187" s="8">
        <f>IF($A187="","",IFERROR(MAXIFS(Pagos!$C:$C,Pagos!$A:$A,$A187,Pagos!$F:$F,"Pagado"),""))</f>
        <v/>
      </c>
      <c r="K187" s="8">
        <f>IF($A187="","",IFERROR(MINIFS(Pagos!$C:$C,Pagos!$A:$A,$A187,Pagos!$F:$F,"Programado"),""))</f>
        <v/>
      </c>
      <c r="L187" s="9">
        <f>IF($A187="","",IF($K187="","",$K187-TODAY()))</f>
        <v/>
      </c>
      <c r="M187" s="9">
        <f>IF($A187="","",IF($H187&lt;=0,"Liquidada",IF(AND($K187&lt;&gt;"",$K187&lt;TODAY()),"Vencida",IF($G187&gt;0,"Parcial","Pendiente"))))</f>
        <v/>
      </c>
      <c r="N187" s="3" t="n"/>
      <c r="O187" s="3" t="n"/>
    </row>
    <row r="188">
      <c r="A188" s="3" t="n"/>
      <c r="B188" s="4" t="n"/>
      <c r="C188" s="3" t="n"/>
      <c r="D188" s="3" t="n"/>
      <c r="E188" s="3" t="n"/>
      <c r="F188" s="5" t="n"/>
      <c r="G188" s="6">
        <f>IF($A188="","",SUMIFS(Pagos!$D:$D,Pagos!$A:$A,$A188,Pagos!$F:$F,"Pagado"))</f>
        <v/>
      </c>
      <c r="H188" s="6">
        <f>IF($A188="","",$F188-$G188)</f>
        <v/>
      </c>
      <c r="I188" s="7">
        <f>IF($A188="","",IF($F188=0,0,$G188/$F188))</f>
        <v/>
      </c>
      <c r="J188" s="8">
        <f>IF($A188="","",IFERROR(MAXIFS(Pagos!$C:$C,Pagos!$A:$A,$A188,Pagos!$F:$F,"Pagado"),""))</f>
        <v/>
      </c>
      <c r="K188" s="8">
        <f>IF($A188="","",IFERROR(MINIFS(Pagos!$C:$C,Pagos!$A:$A,$A188,Pagos!$F:$F,"Programado"),""))</f>
        <v/>
      </c>
      <c r="L188" s="9">
        <f>IF($A188="","",IF($K188="","",$K188-TODAY()))</f>
        <v/>
      </c>
      <c r="M188" s="9">
        <f>IF($A188="","",IF($H188&lt;=0,"Liquidada",IF(AND($K188&lt;&gt;"",$K188&lt;TODAY()),"Vencida",IF($G188&gt;0,"Parcial","Pendiente"))))</f>
        <v/>
      </c>
      <c r="N188" s="3" t="n"/>
      <c r="O188" s="3" t="n"/>
    </row>
    <row r="189">
      <c r="A189" s="3" t="n"/>
      <c r="B189" s="4" t="n"/>
      <c r="C189" s="3" t="n"/>
      <c r="D189" s="3" t="n"/>
      <c r="E189" s="3" t="n"/>
      <c r="F189" s="5" t="n"/>
      <c r="G189" s="6">
        <f>IF($A189="","",SUMIFS(Pagos!$D:$D,Pagos!$A:$A,$A189,Pagos!$F:$F,"Pagado"))</f>
        <v/>
      </c>
      <c r="H189" s="6">
        <f>IF($A189="","",$F189-$G189)</f>
        <v/>
      </c>
      <c r="I189" s="7">
        <f>IF($A189="","",IF($F189=0,0,$G189/$F189))</f>
        <v/>
      </c>
      <c r="J189" s="8">
        <f>IF($A189="","",IFERROR(MAXIFS(Pagos!$C:$C,Pagos!$A:$A,$A189,Pagos!$F:$F,"Pagado"),""))</f>
        <v/>
      </c>
      <c r="K189" s="8">
        <f>IF($A189="","",IFERROR(MINIFS(Pagos!$C:$C,Pagos!$A:$A,$A189,Pagos!$F:$F,"Programado"),""))</f>
        <v/>
      </c>
      <c r="L189" s="9">
        <f>IF($A189="","",IF($K189="","",$K189-TODAY()))</f>
        <v/>
      </c>
      <c r="M189" s="9">
        <f>IF($A189="","",IF($H189&lt;=0,"Liquidada",IF(AND($K189&lt;&gt;"",$K189&lt;TODAY()),"Vencida",IF($G189&gt;0,"Parcial","Pendiente"))))</f>
        <v/>
      </c>
      <c r="N189" s="3" t="n"/>
      <c r="O189" s="3" t="n"/>
    </row>
    <row r="190">
      <c r="A190" s="3" t="n"/>
      <c r="B190" s="4" t="n"/>
      <c r="C190" s="3" t="n"/>
      <c r="D190" s="3" t="n"/>
      <c r="E190" s="3" t="n"/>
      <c r="F190" s="5" t="n"/>
      <c r="G190" s="6">
        <f>IF($A190="","",SUMIFS(Pagos!$D:$D,Pagos!$A:$A,$A190,Pagos!$F:$F,"Pagado"))</f>
        <v/>
      </c>
      <c r="H190" s="6">
        <f>IF($A190="","",$F190-$G190)</f>
        <v/>
      </c>
      <c r="I190" s="7">
        <f>IF($A190="","",IF($F190=0,0,$G190/$F190))</f>
        <v/>
      </c>
      <c r="J190" s="8">
        <f>IF($A190="","",IFERROR(MAXIFS(Pagos!$C:$C,Pagos!$A:$A,$A190,Pagos!$F:$F,"Pagado"),""))</f>
        <v/>
      </c>
      <c r="K190" s="8">
        <f>IF($A190="","",IFERROR(MINIFS(Pagos!$C:$C,Pagos!$A:$A,$A190,Pagos!$F:$F,"Programado"),""))</f>
        <v/>
      </c>
      <c r="L190" s="9">
        <f>IF($A190="","",IF($K190="","",$K190-TODAY()))</f>
        <v/>
      </c>
      <c r="M190" s="9">
        <f>IF($A190="","",IF($H190&lt;=0,"Liquidada",IF(AND($K190&lt;&gt;"",$K190&lt;TODAY()),"Vencida",IF($G190&gt;0,"Parcial","Pendiente"))))</f>
        <v/>
      </c>
      <c r="N190" s="3" t="n"/>
      <c r="O190" s="3" t="n"/>
    </row>
    <row r="191">
      <c r="A191" s="3" t="n"/>
      <c r="B191" s="4" t="n"/>
      <c r="C191" s="3" t="n"/>
      <c r="D191" s="3" t="n"/>
      <c r="E191" s="3" t="n"/>
      <c r="F191" s="5" t="n"/>
      <c r="G191" s="6">
        <f>IF($A191="","",SUMIFS(Pagos!$D:$D,Pagos!$A:$A,$A191,Pagos!$F:$F,"Pagado"))</f>
        <v/>
      </c>
      <c r="H191" s="6">
        <f>IF($A191="","",$F191-$G191)</f>
        <v/>
      </c>
      <c r="I191" s="7">
        <f>IF($A191="","",IF($F191=0,0,$G191/$F191))</f>
        <v/>
      </c>
      <c r="J191" s="8">
        <f>IF($A191="","",IFERROR(MAXIFS(Pagos!$C:$C,Pagos!$A:$A,$A191,Pagos!$F:$F,"Pagado"),""))</f>
        <v/>
      </c>
      <c r="K191" s="8">
        <f>IF($A191="","",IFERROR(MINIFS(Pagos!$C:$C,Pagos!$A:$A,$A191,Pagos!$F:$F,"Programado"),""))</f>
        <v/>
      </c>
      <c r="L191" s="9">
        <f>IF($A191="","",IF($K191="","",$K191-TODAY()))</f>
        <v/>
      </c>
      <c r="M191" s="9">
        <f>IF($A191="","",IF($H191&lt;=0,"Liquidada",IF(AND($K191&lt;&gt;"",$K191&lt;TODAY()),"Vencida",IF($G191&gt;0,"Parcial","Pendiente"))))</f>
        <v/>
      </c>
      <c r="N191" s="3" t="n"/>
      <c r="O191" s="3" t="n"/>
    </row>
    <row r="192">
      <c r="A192" s="3" t="n"/>
      <c r="B192" s="4" t="n"/>
      <c r="C192" s="3" t="n"/>
      <c r="D192" s="3" t="n"/>
      <c r="E192" s="3" t="n"/>
      <c r="F192" s="5" t="n"/>
      <c r="G192" s="6">
        <f>IF($A192="","",SUMIFS(Pagos!$D:$D,Pagos!$A:$A,$A192,Pagos!$F:$F,"Pagado"))</f>
        <v/>
      </c>
      <c r="H192" s="6">
        <f>IF($A192="","",$F192-$G192)</f>
        <v/>
      </c>
      <c r="I192" s="7">
        <f>IF($A192="","",IF($F192=0,0,$G192/$F192))</f>
        <v/>
      </c>
      <c r="J192" s="8">
        <f>IF($A192="","",IFERROR(MAXIFS(Pagos!$C:$C,Pagos!$A:$A,$A192,Pagos!$F:$F,"Pagado"),""))</f>
        <v/>
      </c>
      <c r="K192" s="8">
        <f>IF($A192="","",IFERROR(MINIFS(Pagos!$C:$C,Pagos!$A:$A,$A192,Pagos!$F:$F,"Programado"),""))</f>
        <v/>
      </c>
      <c r="L192" s="9">
        <f>IF($A192="","",IF($K192="","",$K192-TODAY()))</f>
        <v/>
      </c>
      <c r="M192" s="9">
        <f>IF($A192="","",IF($H192&lt;=0,"Liquidada",IF(AND($K192&lt;&gt;"",$K192&lt;TODAY()),"Vencida",IF($G192&gt;0,"Parcial","Pendiente"))))</f>
        <v/>
      </c>
      <c r="N192" s="3" t="n"/>
      <c r="O192" s="3" t="n"/>
    </row>
    <row r="193">
      <c r="A193" s="3" t="n"/>
      <c r="B193" s="4" t="n"/>
      <c r="C193" s="3" t="n"/>
      <c r="D193" s="3" t="n"/>
      <c r="E193" s="3" t="n"/>
      <c r="F193" s="5" t="n"/>
      <c r="G193" s="6">
        <f>IF($A193="","",SUMIFS(Pagos!$D:$D,Pagos!$A:$A,$A193,Pagos!$F:$F,"Pagado"))</f>
        <v/>
      </c>
      <c r="H193" s="6">
        <f>IF($A193="","",$F193-$G193)</f>
        <v/>
      </c>
      <c r="I193" s="7">
        <f>IF($A193="","",IF($F193=0,0,$G193/$F193))</f>
        <v/>
      </c>
      <c r="J193" s="8">
        <f>IF($A193="","",IFERROR(MAXIFS(Pagos!$C:$C,Pagos!$A:$A,$A193,Pagos!$F:$F,"Pagado"),""))</f>
        <v/>
      </c>
      <c r="K193" s="8">
        <f>IF($A193="","",IFERROR(MINIFS(Pagos!$C:$C,Pagos!$A:$A,$A193,Pagos!$F:$F,"Programado"),""))</f>
        <v/>
      </c>
      <c r="L193" s="9">
        <f>IF($A193="","",IF($K193="","",$K193-TODAY()))</f>
        <v/>
      </c>
      <c r="M193" s="9">
        <f>IF($A193="","",IF($H193&lt;=0,"Liquidada",IF(AND($K193&lt;&gt;"",$K193&lt;TODAY()),"Vencida",IF($G193&gt;0,"Parcial","Pendiente"))))</f>
        <v/>
      </c>
      <c r="N193" s="3" t="n"/>
      <c r="O193" s="3" t="n"/>
    </row>
    <row r="194">
      <c r="A194" s="3" t="n"/>
      <c r="B194" s="4" t="n"/>
      <c r="C194" s="3" t="n"/>
      <c r="D194" s="3" t="n"/>
      <c r="E194" s="3" t="n"/>
      <c r="F194" s="5" t="n"/>
      <c r="G194" s="6">
        <f>IF($A194="","",SUMIFS(Pagos!$D:$D,Pagos!$A:$A,$A194,Pagos!$F:$F,"Pagado"))</f>
        <v/>
      </c>
      <c r="H194" s="6">
        <f>IF($A194="","",$F194-$G194)</f>
        <v/>
      </c>
      <c r="I194" s="7">
        <f>IF($A194="","",IF($F194=0,0,$G194/$F194))</f>
        <v/>
      </c>
      <c r="J194" s="8">
        <f>IF($A194="","",IFERROR(MAXIFS(Pagos!$C:$C,Pagos!$A:$A,$A194,Pagos!$F:$F,"Pagado"),""))</f>
        <v/>
      </c>
      <c r="K194" s="8">
        <f>IF($A194="","",IFERROR(MINIFS(Pagos!$C:$C,Pagos!$A:$A,$A194,Pagos!$F:$F,"Programado"),""))</f>
        <v/>
      </c>
      <c r="L194" s="9">
        <f>IF($A194="","",IF($K194="","",$K194-TODAY()))</f>
        <v/>
      </c>
      <c r="M194" s="9">
        <f>IF($A194="","",IF($H194&lt;=0,"Liquidada",IF(AND($K194&lt;&gt;"",$K194&lt;TODAY()),"Vencida",IF($G194&gt;0,"Parcial","Pendiente"))))</f>
        <v/>
      </c>
      <c r="N194" s="3" t="n"/>
      <c r="O194" s="3" t="n"/>
    </row>
    <row r="195">
      <c r="A195" s="3" t="n"/>
      <c r="B195" s="4" t="n"/>
      <c r="C195" s="3" t="n"/>
      <c r="D195" s="3" t="n"/>
      <c r="E195" s="3" t="n"/>
      <c r="F195" s="5" t="n"/>
      <c r="G195" s="6">
        <f>IF($A195="","",SUMIFS(Pagos!$D:$D,Pagos!$A:$A,$A195,Pagos!$F:$F,"Pagado"))</f>
        <v/>
      </c>
      <c r="H195" s="6">
        <f>IF($A195="","",$F195-$G195)</f>
        <v/>
      </c>
      <c r="I195" s="7">
        <f>IF($A195="","",IF($F195=0,0,$G195/$F195))</f>
        <v/>
      </c>
      <c r="J195" s="8">
        <f>IF($A195="","",IFERROR(MAXIFS(Pagos!$C:$C,Pagos!$A:$A,$A195,Pagos!$F:$F,"Pagado"),""))</f>
        <v/>
      </c>
      <c r="K195" s="8">
        <f>IF($A195="","",IFERROR(MINIFS(Pagos!$C:$C,Pagos!$A:$A,$A195,Pagos!$F:$F,"Programado"),""))</f>
        <v/>
      </c>
      <c r="L195" s="9">
        <f>IF($A195="","",IF($K195="","",$K195-TODAY()))</f>
        <v/>
      </c>
      <c r="M195" s="9">
        <f>IF($A195="","",IF($H195&lt;=0,"Liquidada",IF(AND($K195&lt;&gt;"",$K195&lt;TODAY()),"Vencida",IF($G195&gt;0,"Parcial","Pendiente"))))</f>
        <v/>
      </c>
      <c r="N195" s="3" t="n"/>
      <c r="O195" s="3" t="n"/>
    </row>
    <row r="196">
      <c r="A196" s="3" t="n"/>
      <c r="B196" s="4" t="n"/>
      <c r="C196" s="3" t="n"/>
      <c r="D196" s="3" t="n"/>
      <c r="E196" s="3" t="n"/>
      <c r="F196" s="5" t="n"/>
      <c r="G196" s="6">
        <f>IF($A196="","",SUMIFS(Pagos!$D:$D,Pagos!$A:$A,$A196,Pagos!$F:$F,"Pagado"))</f>
        <v/>
      </c>
      <c r="H196" s="6">
        <f>IF($A196="","",$F196-$G196)</f>
        <v/>
      </c>
      <c r="I196" s="7">
        <f>IF($A196="","",IF($F196=0,0,$G196/$F196))</f>
        <v/>
      </c>
      <c r="J196" s="8">
        <f>IF($A196="","",IFERROR(MAXIFS(Pagos!$C:$C,Pagos!$A:$A,$A196,Pagos!$F:$F,"Pagado"),""))</f>
        <v/>
      </c>
      <c r="K196" s="8">
        <f>IF($A196="","",IFERROR(MINIFS(Pagos!$C:$C,Pagos!$A:$A,$A196,Pagos!$F:$F,"Programado"),""))</f>
        <v/>
      </c>
      <c r="L196" s="9">
        <f>IF($A196="","",IF($K196="","",$K196-TODAY()))</f>
        <v/>
      </c>
      <c r="M196" s="9">
        <f>IF($A196="","",IF($H196&lt;=0,"Liquidada",IF(AND($K196&lt;&gt;"",$K196&lt;TODAY()),"Vencida",IF($G196&gt;0,"Parcial","Pendiente"))))</f>
        <v/>
      </c>
      <c r="N196" s="3" t="n"/>
      <c r="O196" s="3" t="n"/>
    </row>
    <row r="197">
      <c r="A197" s="3" t="n"/>
      <c r="B197" s="4" t="n"/>
      <c r="C197" s="3" t="n"/>
      <c r="D197" s="3" t="n"/>
      <c r="E197" s="3" t="n"/>
      <c r="F197" s="5" t="n"/>
      <c r="G197" s="6">
        <f>IF($A197="","",SUMIFS(Pagos!$D:$D,Pagos!$A:$A,$A197,Pagos!$F:$F,"Pagado"))</f>
        <v/>
      </c>
      <c r="H197" s="6">
        <f>IF($A197="","",$F197-$G197)</f>
        <v/>
      </c>
      <c r="I197" s="7">
        <f>IF($A197="","",IF($F197=0,0,$G197/$F197))</f>
        <v/>
      </c>
      <c r="J197" s="8">
        <f>IF($A197="","",IFERROR(MAXIFS(Pagos!$C:$C,Pagos!$A:$A,$A197,Pagos!$F:$F,"Pagado"),""))</f>
        <v/>
      </c>
      <c r="K197" s="8">
        <f>IF($A197="","",IFERROR(MINIFS(Pagos!$C:$C,Pagos!$A:$A,$A197,Pagos!$F:$F,"Programado"),""))</f>
        <v/>
      </c>
      <c r="L197" s="9">
        <f>IF($A197="","",IF($K197="","",$K197-TODAY()))</f>
        <v/>
      </c>
      <c r="M197" s="9">
        <f>IF($A197="","",IF($H197&lt;=0,"Liquidada",IF(AND($K197&lt;&gt;"",$K197&lt;TODAY()),"Vencida",IF($G197&gt;0,"Parcial","Pendiente"))))</f>
        <v/>
      </c>
      <c r="N197" s="3" t="n"/>
      <c r="O197" s="3" t="n"/>
    </row>
    <row r="198">
      <c r="A198" s="3" t="n"/>
      <c r="B198" s="4" t="n"/>
      <c r="C198" s="3" t="n"/>
      <c r="D198" s="3" t="n"/>
      <c r="E198" s="3" t="n"/>
      <c r="F198" s="5" t="n"/>
      <c r="G198" s="6">
        <f>IF($A198="","",SUMIFS(Pagos!$D:$D,Pagos!$A:$A,$A198,Pagos!$F:$F,"Pagado"))</f>
        <v/>
      </c>
      <c r="H198" s="6">
        <f>IF($A198="","",$F198-$G198)</f>
        <v/>
      </c>
      <c r="I198" s="7">
        <f>IF($A198="","",IF($F198=0,0,$G198/$F198))</f>
        <v/>
      </c>
      <c r="J198" s="8">
        <f>IF($A198="","",IFERROR(MAXIFS(Pagos!$C:$C,Pagos!$A:$A,$A198,Pagos!$F:$F,"Pagado"),""))</f>
        <v/>
      </c>
      <c r="K198" s="8">
        <f>IF($A198="","",IFERROR(MINIFS(Pagos!$C:$C,Pagos!$A:$A,$A198,Pagos!$F:$F,"Programado"),""))</f>
        <v/>
      </c>
      <c r="L198" s="9">
        <f>IF($A198="","",IF($K198="","",$K198-TODAY()))</f>
        <v/>
      </c>
      <c r="M198" s="9">
        <f>IF($A198="","",IF($H198&lt;=0,"Liquidada",IF(AND($K198&lt;&gt;"",$K198&lt;TODAY()),"Vencida",IF($G198&gt;0,"Parcial","Pendiente"))))</f>
        <v/>
      </c>
      <c r="N198" s="3" t="n"/>
      <c r="O198" s="3" t="n"/>
    </row>
    <row r="199">
      <c r="A199" s="3" t="n"/>
      <c r="B199" s="4" t="n"/>
      <c r="C199" s="3" t="n"/>
      <c r="D199" s="3" t="n"/>
      <c r="E199" s="3" t="n"/>
      <c r="F199" s="5" t="n"/>
      <c r="G199" s="6">
        <f>IF($A199="","",SUMIFS(Pagos!$D:$D,Pagos!$A:$A,$A199,Pagos!$F:$F,"Pagado"))</f>
        <v/>
      </c>
      <c r="H199" s="6">
        <f>IF($A199="","",$F199-$G199)</f>
        <v/>
      </c>
      <c r="I199" s="7">
        <f>IF($A199="","",IF($F199=0,0,$G199/$F199))</f>
        <v/>
      </c>
      <c r="J199" s="8">
        <f>IF($A199="","",IFERROR(MAXIFS(Pagos!$C:$C,Pagos!$A:$A,$A199,Pagos!$F:$F,"Pagado"),""))</f>
        <v/>
      </c>
      <c r="K199" s="8">
        <f>IF($A199="","",IFERROR(MINIFS(Pagos!$C:$C,Pagos!$A:$A,$A199,Pagos!$F:$F,"Programado"),""))</f>
        <v/>
      </c>
      <c r="L199" s="9">
        <f>IF($A199="","",IF($K199="","",$K199-TODAY()))</f>
        <v/>
      </c>
      <c r="M199" s="9">
        <f>IF($A199="","",IF($H199&lt;=0,"Liquidada",IF(AND($K199&lt;&gt;"",$K199&lt;TODAY()),"Vencida",IF($G199&gt;0,"Parcial","Pendiente"))))</f>
        <v/>
      </c>
      <c r="N199" s="3" t="n"/>
      <c r="O199" s="3" t="n"/>
    </row>
    <row r="200">
      <c r="A200" s="3" t="n"/>
      <c r="B200" s="4" t="n"/>
      <c r="C200" s="3" t="n"/>
      <c r="D200" s="3" t="n"/>
      <c r="E200" s="3" t="n"/>
      <c r="F200" s="5" t="n"/>
      <c r="G200" s="6">
        <f>IF($A200="","",SUMIFS(Pagos!$D:$D,Pagos!$A:$A,$A200,Pagos!$F:$F,"Pagado"))</f>
        <v/>
      </c>
      <c r="H200" s="6">
        <f>IF($A200="","",$F200-$G200)</f>
        <v/>
      </c>
      <c r="I200" s="7">
        <f>IF($A200="","",IF($F200=0,0,$G200/$F200))</f>
        <v/>
      </c>
      <c r="J200" s="8">
        <f>IF($A200="","",IFERROR(MAXIFS(Pagos!$C:$C,Pagos!$A:$A,$A200,Pagos!$F:$F,"Pagado"),""))</f>
        <v/>
      </c>
      <c r="K200" s="8">
        <f>IF($A200="","",IFERROR(MINIFS(Pagos!$C:$C,Pagos!$A:$A,$A200,Pagos!$F:$F,"Programado"),""))</f>
        <v/>
      </c>
      <c r="L200" s="9">
        <f>IF($A200="","",IF($K200="","",$K200-TODAY()))</f>
        <v/>
      </c>
      <c r="M200" s="9">
        <f>IF($A200="","",IF($H200&lt;=0,"Liquidada",IF(AND($K200&lt;&gt;"",$K200&lt;TODAY()),"Vencida",IF($G200&gt;0,"Parcial","Pendiente"))))</f>
        <v/>
      </c>
      <c r="N200" s="3" t="n"/>
      <c r="O200" s="3" t="n"/>
    </row>
    <row r="201">
      <c r="A201" s="3" t="n"/>
      <c r="B201" s="4" t="n"/>
      <c r="C201" s="3" t="n"/>
      <c r="D201" s="3" t="n"/>
      <c r="E201" s="3" t="n"/>
      <c r="F201" s="5" t="n"/>
      <c r="G201" s="6">
        <f>IF($A201="","",SUMIFS(Pagos!$D:$D,Pagos!$A:$A,$A201,Pagos!$F:$F,"Pagado"))</f>
        <v/>
      </c>
      <c r="H201" s="6">
        <f>IF($A201="","",$F201-$G201)</f>
        <v/>
      </c>
      <c r="I201" s="7">
        <f>IF($A201="","",IF($F201=0,0,$G201/$F201))</f>
        <v/>
      </c>
      <c r="J201" s="8">
        <f>IF($A201="","",IFERROR(MAXIFS(Pagos!$C:$C,Pagos!$A:$A,$A201,Pagos!$F:$F,"Pagado"),""))</f>
        <v/>
      </c>
      <c r="K201" s="8">
        <f>IF($A201="","",IFERROR(MINIFS(Pagos!$C:$C,Pagos!$A:$A,$A201,Pagos!$F:$F,"Programado"),""))</f>
        <v/>
      </c>
      <c r="L201" s="9">
        <f>IF($A201="","",IF($K201="","",$K201-TODAY()))</f>
        <v/>
      </c>
      <c r="M201" s="9">
        <f>IF($A201="","",IF($H201&lt;=0,"Liquidada",IF(AND($K201&lt;&gt;"",$K201&lt;TODAY()),"Vencida",IF($G201&gt;0,"Parcial","Pendiente"))))</f>
        <v/>
      </c>
      <c r="N201" s="3" t="n"/>
      <c r="O201" s="3" t="n"/>
    </row>
    <row r="202">
      <c r="A202" s="3" t="n"/>
      <c r="B202" s="4" t="n"/>
      <c r="C202" s="3" t="n"/>
      <c r="D202" s="3" t="n"/>
      <c r="E202" s="3" t="n"/>
      <c r="F202" s="5" t="n"/>
      <c r="G202" s="6">
        <f>IF($A202="","",SUMIFS(Pagos!$D:$D,Pagos!$A:$A,$A202,Pagos!$F:$F,"Pagado"))</f>
        <v/>
      </c>
      <c r="H202" s="6">
        <f>IF($A202="","",$F202-$G202)</f>
        <v/>
      </c>
      <c r="I202" s="7">
        <f>IF($A202="","",IF($F202=0,0,$G202/$F202))</f>
        <v/>
      </c>
      <c r="J202" s="8">
        <f>IF($A202="","",IFERROR(MAXIFS(Pagos!$C:$C,Pagos!$A:$A,$A202,Pagos!$F:$F,"Pagado"),""))</f>
        <v/>
      </c>
      <c r="K202" s="8">
        <f>IF($A202="","",IFERROR(MINIFS(Pagos!$C:$C,Pagos!$A:$A,$A202,Pagos!$F:$F,"Programado"),""))</f>
        <v/>
      </c>
      <c r="L202" s="9">
        <f>IF($A202="","",IF($K202="","",$K202-TODAY()))</f>
        <v/>
      </c>
      <c r="M202" s="9">
        <f>IF($A202="","",IF($H202&lt;=0,"Liquidada",IF(AND($K202&lt;&gt;"",$K202&lt;TODAY()),"Vencida",IF($G202&gt;0,"Parcial","Pendiente"))))</f>
        <v/>
      </c>
      <c r="N202" s="3" t="n"/>
      <c r="O202" s="3" t="n"/>
    </row>
    <row r="203">
      <c r="A203" s="3" t="n"/>
      <c r="B203" s="4" t="n"/>
      <c r="C203" s="3" t="n"/>
      <c r="D203" s="3" t="n"/>
      <c r="E203" s="3" t="n"/>
      <c r="F203" s="5" t="n"/>
      <c r="G203" s="6">
        <f>IF($A203="","",SUMIFS(Pagos!$D:$D,Pagos!$A:$A,$A203,Pagos!$F:$F,"Pagado"))</f>
        <v/>
      </c>
      <c r="H203" s="6">
        <f>IF($A203="","",$F203-$G203)</f>
        <v/>
      </c>
      <c r="I203" s="7">
        <f>IF($A203="","",IF($F203=0,0,$G203/$F203))</f>
        <v/>
      </c>
      <c r="J203" s="8">
        <f>IF($A203="","",IFERROR(MAXIFS(Pagos!$C:$C,Pagos!$A:$A,$A203,Pagos!$F:$F,"Pagado"),""))</f>
        <v/>
      </c>
      <c r="K203" s="8">
        <f>IF($A203="","",IFERROR(MINIFS(Pagos!$C:$C,Pagos!$A:$A,$A203,Pagos!$F:$F,"Programado"),""))</f>
        <v/>
      </c>
      <c r="L203" s="9">
        <f>IF($A203="","",IF($K203="","",$K203-TODAY()))</f>
        <v/>
      </c>
      <c r="M203" s="9">
        <f>IF($A203="","",IF($H203&lt;=0,"Liquidada",IF(AND($K203&lt;&gt;"",$K203&lt;TODAY()),"Vencida",IF($G203&gt;0,"Parcial","Pendiente"))))</f>
        <v/>
      </c>
      <c r="N203" s="3" t="n"/>
      <c r="O203" s="3" t="n"/>
    </row>
    <row r="204">
      <c r="A204" s="3" t="n"/>
      <c r="B204" s="4" t="n"/>
      <c r="C204" s="3" t="n"/>
      <c r="D204" s="3" t="n"/>
      <c r="E204" s="3" t="n"/>
      <c r="F204" s="5" t="n"/>
      <c r="G204" s="6">
        <f>IF($A204="","",SUMIFS(Pagos!$D:$D,Pagos!$A:$A,$A204,Pagos!$F:$F,"Pagado"))</f>
        <v/>
      </c>
      <c r="H204" s="6">
        <f>IF($A204="","",$F204-$G204)</f>
        <v/>
      </c>
      <c r="I204" s="7">
        <f>IF($A204="","",IF($F204=0,0,$G204/$F204))</f>
        <v/>
      </c>
      <c r="J204" s="8">
        <f>IF($A204="","",IFERROR(MAXIFS(Pagos!$C:$C,Pagos!$A:$A,$A204,Pagos!$F:$F,"Pagado"),""))</f>
        <v/>
      </c>
      <c r="K204" s="8">
        <f>IF($A204="","",IFERROR(MINIFS(Pagos!$C:$C,Pagos!$A:$A,$A204,Pagos!$F:$F,"Programado"),""))</f>
        <v/>
      </c>
      <c r="L204" s="9">
        <f>IF($A204="","",IF($K204="","",$K204-TODAY()))</f>
        <v/>
      </c>
      <c r="M204" s="9">
        <f>IF($A204="","",IF($H204&lt;=0,"Liquidada",IF(AND($K204&lt;&gt;"",$K204&lt;TODAY()),"Vencida",IF($G204&gt;0,"Parcial","Pendiente"))))</f>
        <v/>
      </c>
      <c r="N204" s="3" t="n"/>
      <c r="O204" s="3" t="n"/>
    </row>
    <row r="205">
      <c r="A205" s="3" t="n"/>
      <c r="B205" s="4" t="n"/>
      <c r="C205" s="3" t="n"/>
      <c r="D205" s="3" t="n"/>
      <c r="E205" s="3" t="n"/>
      <c r="F205" s="5" t="n"/>
      <c r="G205" s="6">
        <f>IF($A205="","",SUMIFS(Pagos!$D:$D,Pagos!$A:$A,$A205,Pagos!$F:$F,"Pagado"))</f>
        <v/>
      </c>
      <c r="H205" s="6">
        <f>IF($A205="","",$F205-$G205)</f>
        <v/>
      </c>
      <c r="I205" s="7">
        <f>IF($A205="","",IF($F205=0,0,$G205/$F205))</f>
        <v/>
      </c>
      <c r="J205" s="8">
        <f>IF($A205="","",IFERROR(MAXIFS(Pagos!$C:$C,Pagos!$A:$A,$A205,Pagos!$F:$F,"Pagado"),""))</f>
        <v/>
      </c>
      <c r="K205" s="8">
        <f>IF($A205="","",IFERROR(MINIFS(Pagos!$C:$C,Pagos!$A:$A,$A205,Pagos!$F:$F,"Programado"),""))</f>
        <v/>
      </c>
      <c r="L205" s="9">
        <f>IF($A205="","",IF($K205="","",$K205-TODAY()))</f>
        <v/>
      </c>
      <c r="M205" s="9">
        <f>IF($A205="","",IF($H205&lt;=0,"Liquidada",IF(AND($K205&lt;&gt;"",$K205&lt;TODAY()),"Vencida",IF($G205&gt;0,"Parcial","Pendiente"))))</f>
        <v/>
      </c>
      <c r="N205" s="3" t="n"/>
      <c r="O205" s="3" t="n"/>
    </row>
    <row r="206">
      <c r="A206" s="3" t="n"/>
      <c r="B206" s="4" t="n"/>
      <c r="C206" s="3" t="n"/>
      <c r="D206" s="3" t="n"/>
      <c r="E206" s="3" t="n"/>
      <c r="F206" s="5" t="n"/>
      <c r="G206" s="6">
        <f>IF($A206="","",SUMIFS(Pagos!$D:$D,Pagos!$A:$A,$A206,Pagos!$F:$F,"Pagado"))</f>
        <v/>
      </c>
      <c r="H206" s="6">
        <f>IF($A206="","",$F206-$G206)</f>
        <v/>
      </c>
      <c r="I206" s="7">
        <f>IF($A206="","",IF($F206=0,0,$G206/$F206))</f>
        <v/>
      </c>
      <c r="J206" s="8">
        <f>IF($A206="","",IFERROR(MAXIFS(Pagos!$C:$C,Pagos!$A:$A,$A206,Pagos!$F:$F,"Pagado"),""))</f>
        <v/>
      </c>
      <c r="K206" s="8">
        <f>IF($A206="","",IFERROR(MINIFS(Pagos!$C:$C,Pagos!$A:$A,$A206,Pagos!$F:$F,"Programado"),""))</f>
        <v/>
      </c>
      <c r="L206" s="9">
        <f>IF($A206="","",IF($K206="","",$K206-TODAY()))</f>
        <v/>
      </c>
      <c r="M206" s="9">
        <f>IF($A206="","",IF($H206&lt;=0,"Liquidada",IF(AND($K206&lt;&gt;"",$K206&lt;TODAY()),"Vencida",IF($G206&gt;0,"Parcial","Pendiente"))))</f>
        <v/>
      </c>
      <c r="N206" s="3" t="n"/>
      <c r="O206" s="3" t="n"/>
    </row>
    <row r="207">
      <c r="A207" s="3" t="n"/>
      <c r="B207" s="4" t="n"/>
      <c r="C207" s="3" t="n"/>
      <c r="D207" s="3" t="n"/>
      <c r="E207" s="3" t="n"/>
      <c r="F207" s="5" t="n"/>
      <c r="G207" s="6">
        <f>IF($A207="","",SUMIFS(Pagos!$D:$D,Pagos!$A:$A,$A207,Pagos!$F:$F,"Pagado"))</f>
        <v/>
      </c>
      <c r="H207" s="6">
        <f>IF($A207="","",$F207-$G207)</f>
        <v/>
      </c>
      <c r="I207" s="7">
        <f>IF($A207="","",IF($F207=0,0,$G207/$F207))</f>
        <v/>
      </c>
      <c r="J207" s="8">
        <f>IF($A207="","",IFERROR(MAXIFS(Pagos!$C:$C,Pagos!$A:$A,$A207,Pagos!$F:$F,"Pagado"),""))</f>
        <v/>
      </c>
      <c r="K207" s="8">
        <f>IF($A207="","",IFERROR(MINIFS(Pagos!$C:$C,Pagos!$A:$A,$A207,Pagos!$F:$F,"Programado"),""))</f>
        <v/>
      </c>
      <c r="L207" s="9">
        <f>IF($A207="","",IF($K207="","",$K207-TODAY()))</f>
        <v/>
      </c>
      <c r="M207" s="9">
        <f>IF($A207="","",IF($H207&lt;=0,"Liquidada",IF(AND($K207&lt;&gt;"",$K207&lt;TODAY()),"Vencida",IF($G207&gt;0,"Parcial","Pendiente"))))</f>
        <v/>
      </c>
      <c r="N207" s="3" t="n"/>
      <c r="O207" s="3" t="n"/>
    </row>
    <row r="208">
      <c r="A208" s="3" t="n"/>
      <c r="B208" s="4" t="n"/>
      <c r="C208" s="3" t="n"/>
      <c r="D208" s="3" t="n"/>
      <c r="E208" s="3" t="n"/>
      <c r="F208" s="5" t="n"/>
      <c r="G208" s="6">
        <f>IF($A208="","",SUMIFS(Pagos!$D:$D,Pagos!$A:$A,$A208,Pagos!$F:$F,"Pagado"))</f>
        <v/>
      </c>
      <c r="H208" s="6">
        <f>IF($A208="","",$F208-$G208)</f>
        <v/>
      </c>
      <c r="I208" s="7">
        <f>IF($A208="","",IF($F208=0,0,$G208/$F208))</f>
        <v/>
      </c>
      <c r="J208" s="8">
        <f>IF($A208="","",IFERROR(MAXIFS(Pagos!$C:$C,Pagos!$A:$A,$A208,Pagos!$F:$F,"Pagado"),""))</f>
        <v/>
      </c>
      <c r="K208" s="8">
        <f>IF($A208="","",IFERROR(MINIFS(Pagos!$C:$C,Pagos!$A:$A,$A208,Pagos!$F:$F,"Programado"),""))</f>
        <v/>
      </c>
      <c r="L208" s="9">
        <f>IF($A208="","",IF($K208="","",$K208-TODAY()))</f>
        <v/>
      </c>
      <c r="M208" s="9">
        <f>IF($A208="","",IF($H208&lt;=0,"Liquidada",IF(AND($K208&lt;&gt;"",$K208&lt;TODAY()),"Vencida",IF($G208&gt;0,"Parcial","Pendiente"))))</f>
        <v/>
      </c>
      <c r="N208" s="3" t="n"/>
      <c r="O208" s="3" t="n"/>
    </row>
    <row r="209">
      <c r="A209" s="3" t="n"/>
      <c r="B209" s="4" t="n"/>
      <c r="C209" s="3" t="n"/>
      <c r="D209" s="3" t="n"/>
      <c r="E209" s="3" t="n"/>
      <c r="F209" s="5" t="n"/>
      <c r="G209" s="6">
        <f>IF($A209="","",SUMIFS(Pagos!$D:$D,Pagos!$A:$A,$A209,Pagos!$F:$F,"Pagado"))</f>
        <v/>
      </c>
      <c r="H209" s="6">
        <f>IF($A209="","",$F209-$G209)</f>
        <v/>
      </c>
      <c r="I209" s="7">
        <f>IF($A209="","",IF($F209=0,0,$G209/$F209))</f>
        <v/>
      </c>
      <c r="J209" s="8">
        <f>IF($A209="","",IFERROR(MAXIFS(Pagos!$C:$C,Pagos!$A:$A,$A209,Pagos!$F:$F,"Pagado"),""))</f>
        <v/>
      </c>
      <c r="K209" s="8">
        <f>IF($A209="","",IFERROR(MINIFS(Pagos!$C:$C,Pagos!$A:$A,$A209,Pagos!$F:$F,"Programado"),""))</f>
        <v/>
      </c>
      <c r="L209" s="9">
        <f>IF($A209="","",IF($K209="","",$K209-TODAY()))</f>
        <v/>
      </c>
      <c r="M209" s="9">
        <f>IF($A209="","",IF($H209&lt;=0,"Liquidada",IF(AND($K209&lt;&gt;"",$K209&lt;TODAY()),"Vencida",IF($G209&gt;0,"Parcial","Pendiente"))))</f>
        <v/>
      </c>
      <c r="N209" s="3" t="n"/>
      <c r="O209" s="3" t="n"/>
    </row>
    <row r="210">
      <c r="A210" s="3" t="n"/>
      <c r="B210" s="4" t="n"/>
      <c r="C210" s="3" t="n"/>
      <c r="D210" s="3" t="n"/>
      <c r="E210" s="3" t="n"/>
      <c r="F210" s="5" t="n"/>
      <c r="G210" s="6">
        <f>IF($A210="","",SUMIFS(Pagos!$D:$D,Pagos!$A:$A,$A210,Pagos!$F:$F,"Pagado"))</f>
        <v/>
      </c>
      <c r="H210" s="6">
        <f>IF($A210="","",$F210-$G210)</f>
        <v/>
      </c>
      <c r="I210" s="7">
        <f>IF($A210="","",IF($F210=0,0,$G210/$F210))</f>
        <v/>
      </c>
      <c r="J210" s="8">
        <f>IF($A210="","",IFERROR(MAXIFS(Pagos!$C:$C,Pagos!$A:$A,$A210,Pagos!$F:$F,"Pagado"),""))</f>
        <v/>
      </c>
      <c r="K210" s="8">
        <f>IF($A210="","",IFERROR(MINIFS(Pagos!$C:$C,Pagos!$A:$A,$A210,Pagos!$F:$F,"Programado"),""))</f>
        <v/>
      </c>
      <c r="L210" s="9">
        <f>IF($A210="","",IF($K210="","",$K210-TODAY()))</f>
        <v/>
      </c>
      <c r="M210" s="9">
        <f>IF($A210="","",IF($H210&lt;=0,"Liquidada",IF(AND($K210&lt;&gt;"",$K210&lt;TODAY()),"Vencida",IF($G210&gt;0,"Parcial","Pendiente"))))</f>
        <v/>
      </c>
      <c r="N210" s="3" t="n"/>
      <c r="O210" s="3" t="n"/>
    </row>
    <row r="211">
      <c r="A211" s="3" t="n"/>
      <c r="B211" s="4" t="n"/>
      <c r="C211" s="3" t="n"/>
      <c r="D211" s="3" t="n"/>
      <c r="E211" s="3" t="n"/>
      <c r="F211" s="5" t="n"/>
      <c r="G211" s="6">
        <f>IF($A211="","",SUMIFS(Pagos!$D:$D,Pagos!$A:$A,$A211,Pagos!$F:$F,"Pagado"))</f>
        <v/>
      </c>
      <c r="H211" s="6">
        <f>IF($A211="","",$F211-$G211)</f>
        <v/>
      </c>
      <c r="I211" s="7">
        <f>IF($A211="","",IF($F211=0,0,$G211/$F211))</f>
        <v/>
      </c>
      <c r="J211" s="8">
        <f>IF($A211="","",IFERROR(MAXIFS(Pagos!$C:$C,Pagos!$A:$A,$A211,Pagos!$F:$F,"Pagado"),""))</f>
        <v/>
      </c>
      <c r="K211" s="8">
        <f>IF($A211="","",IFERROR(MINIFS(Pagos!$C:$C,Pagos!$A:$A,$A211,Pagos!$F:$F,"Programado"),""))</f>
        <v/>
      </c>
      <c r="L211" s="9">
        <f>IF($A211="","",IF($K211="","",$K211-TODAY()))</f>
        <v/>
      </c>
      <c r="M211" s="9">
        <f>IF($A211="","",IF($H211&lt;=0,"Liquidada",IF(AND($K211&lt;&gt;"",$K211&lt;TODAY()),"Vencida",IF($G211&gt;0,"Parcial","Pendiente"))))</f>
        <v/>
      </c>
      <c r="N211" s="3" t="n"/>
      <c r="O211" s="3" t="n"/>
    </row>
    <row r="212">
      <c r="A212" s="3" t="n"/>
      <c r="B212" s="4" t="n"/>
      <c r="C212" s="3" t="n"/>
      <c r="D212" s="3" t="n"/>
      <c r="E212" s="3" t="n"/>
      <c r="F212" s="5" t="n"/>
      <c r="G212" s="6">
        <f>IF($A212="","",SUMIFS(Pagos!$D:$D,Pagos!$A:$A,$A212,Pagos!$F:$F,"Pagado"))</f>
        <v/>
      </c>
      <c r="H212" s="6">
        <f>IF($A212="","",$F212-$G212)</f>
        <v/>
      </c>
      <c r="I212" s="7">
        <f>IF($A212="","",IF($F212=0,0,$G212/$F212))</f>
        <v/>
      </c>
      <c r="J212" s="8">
        <f>IF($A212="","",IFERROR(MAXIFS(Pagos!$C:$C,Pagos!$A:$A,$A212,Pagos!$F:$F,"Pagado"),""))</f>
        <v/>
      </c>
      <c r="K212" s="8">
        <f>IF($A212="","",IFERROR(MINIFS(Pagos!$C:$C,Pagos!$A:$A,$A212,Pagos!$F:$F,"Programado"),""))</f>
        <v/>
      </c>
      <c r="L212" s="9">
        <f>IF($A212="","",IF($K212="","",$K212-TODAY()))</f>
        <v/>
      </c>
      <c r="M212" s="9">
        <f>IF($A212="","",IF($H212&lt;=0,"Liquidada",IF(AND($K212&lt;&gt;"",$K212&lt;TODAY()),"Vencida",IF($G212&gt;0,"Parcial","Pendiente"))))</f>
        <v/>
      </c>
      <c r="N212" s="3" t="n"/>
      <c r="O212" s="3" t="n"/>
    </row>
    <row r="213">
      <c r="A213" s="3" t="n"/>
      <c r="B213" s="4" t="n"/>
      <c r="C213" s="3" t="n"/>
      <c r="D213" s="3" t="n"/>
      <c r="E213" s="3" t="n"/>
      <c r="F213" s="5" t="n"/>
      <c r="G213" s="6">
        <f>IF($A213="","",SUMIFS(Pagos!$D:$D,Pagos!$A:$A,$A213,Pagos!$F:$F,"Pagado"))</f>
        <v/>
      </c>
      <c r="H213" s="6">
        <f>IF($A213="","",$F213-$G213)</f>
        <v/>
      </c>
      <c r="I213" s="7">
        <f>IF($A213="","",IF($F213=0,0,$G213/$F213))</f>
        <v/>
      </c>
      <c r="J213" s="8">
        <f>IF($A213="","",IFERROR(MAXIFS(Pagos!$C:$C,Pagos!$A:$A,$A213,Pagos!$F:$F,"Pagado"),""))</f>
        <v/>
      </c>
      <c r="K213" s="8">
        <f>IF($A213="","",IFERROR(MINIFS(Pagos!$C:$C,Pagos!$A:$A,$A213,Pagos!$F:$F,"Programado"),""))</f>
        <v/>
      </c>
      <c r="L213" s="9">
        <f>IF($A213="","",IF($K213="","",$K213-TODAY()))</f>
        <v/>
      </c>
      <c r="M213" s="9">
        <f>IF($A213="","",IF($H213&lt;=0,"Liquidada",IF(AND($K213&lt;&gt;"",$K213&lt;TODAY()),"Vencida",IF($G213&gt;0,"Parcial","Pendiente"))))</f>
        <v/>
      </c>
      <c r="N213" s="3" t="n"/>
      <c r="O213" s="3" t="n"/>
    </row>
    <row r="214">
      <c r="A214" s="3" t="n"/>
      <c r="B214" s="4" t="n"/>
      <c r="C214" s="3" t="n"/>
      <c r="D214" s="3" t="n"/>
      <c r="E214" s="3" t="n"/>
      <c r="F214" s="5" t="n"/>
      <c r="G214" s="6">
        <f>IF($A214="","",SUMIFS(Pagos!$D:$D,Pagos!$A:$A,$A214,Pagos!$F:$F,"Pagado"))</f>
        <v/>
      </c>
      <c r="H214" s="6">
        <f>IF($A214="","",$F214-$G214)</f>
        <v/>
      </c>
      <c r="I214" s="7">
        <f>IF($A214="","",IF($F214=0,0,$G214/$F214))</f>
        <v/>
      </c>
      <c r="J214" s="8">
        <f>IF($A214="","",IFERROR(MAXIFS(Pagos!$C:$C,Pagos!$A:$A,$A214,Pagos!$F:$F,"Pagado"),""))</f>
        <v/>
      </c>
      <c r="K214" s="8">
        <f>IF($A214="","",IFERROR(MINIFS(Pagos!$C:$C,Pagos!$A:$A,$A214,Pagos!$F:$F,"Programado"),""))</f>
        <v/>
      </c>
      <c r="L214" s="9">
        <f>IF($A214="","",IF($K214="","",$K214-TODAY()))</f>
        <v/>
      </c>
      <c r="M214" s="9">
        <f>IF($A214="","",IF($H214&lt;=0,"Liquidada",IF(AND($K214&lt;&gt;"",$K214&lt;TODAY()),"Vencida",IF($G214&gt;0,"Parcial","Pendiente"))))</f>
        <v/>
      </c>
      <c r="N214" s="3" t="n"/>
      <c r="O214" s="3" t="n"/>
    </row>
    <row r="215">
      <c r="A215" s="3" t="n"/>
      <c r="B215" s="4" t="n"/>
      <c r="C215" s="3" t="n"/>
      <c r="D215" s="3" t="n"/>
      <c r="E215" s="3" t="n"/>
      <c r="F215" s="5" t="n"/>
      <c r="G215" s="6">
        <f>IF($A215="","",SUMIFS(Pagos!$D:$D,Pagos!$A:$A,$A215,Pagos!$F:$F,"Pagado"))</f>
        <v/>
      </c>
      <c r="H215" s="6">
        <f>IF($A215="","",$F215-$G215)</f>
        <v/>
      </c>
      <c r="I215" s="7">
        <f>IF($A215="","",IF($F215=0,0,$G215/$F215))</f>
        <v/>
      </c>
      <c r="J215" s="8">
        <f>IF($A215="","",IFERROR(MAXIFS(Pagos!$C:$C,Pagos!$A:$A,$A215,Pagos!$F:$F,"Pagado"),""))</f>
        <v/>
      </c>
      <c r="K215" s="8">
        <f>IF($A215="","",IFERROR(MINIFS(Pagos!$C:$C,Pagos!$A:$A,$A215,Pagos!$F:$F,"Programado"),""))</f>
        <v/>
      </c>
      <c r="L215" s="9">
        <f>IF($A215="","",IF($K215="","",$K215-TODAY()))</f>
        <v/>
      </c>
      <c r="M215" s="9">
        <f>IF($A215="","",IF($H215&lt;=0,"Liquidada",IF(AND($K215&lt;&gt;"",$K215&lt;TODAY()),"Vencida",IF($G215&gt;0,"Parcial","Pendiente"))))</f>
        <v/>
      </c>
      <c r="N215" s="3" t="n"/>
      <c r="O215" s="3" t="n"/>
    </row>
    <row r="216">
      <c r="A216" s="3" t="n"/>
      <c r="B216" s="4" t="n"/>
      <c r="C216" s="3" t="n"/>
      <c r="D216" s="3" t="n"/>
      <c r="E216" s="3" t="n"/>
      <c r="F216" s="5" t="n"/>
      <c r="G216" s="6">
        <f>IF($A216="","",SUMIFS(Pagos!$D:$D,Pagos!$A:$A,$A216,Pagos!$F:$F,"Pagado"))</f>
        <v/>
      </c>
      <c r="H216" s="6">
        <f>IF($A216="","",$F216-$G216)</f>
        <v/>
      </c>
      <c r="I216" s="7">
        <f>IF($A216="","",IF($F216=0,0,$G216/$F216))</f>
        <v/>
      </c>
      <c r="J216" s="8">
        <f>IF($A216="","",IFERROR(MAXIFS(Pagos!$C:$C,Pagos!$A:$A,$A216,Pagos!$F:$F,"Pagado"),""))</f>
        <v/>
      </c>
      <c r="K216" s="8">
        <f>IF($A216="","",IFERROR(MINIFS(Pagos!$C:$C,Pagos!$A:$A,$A216,Pagos!$F:$F,"Programado"),""))</f>
        <v/>
      </c>
      <c r="L216" s="9">
        <f>IF($A216="","",IF($K216="","",$K216-TODAY()))</f>
        <v/>
      </c>
      <c r="M216" s="9">
        <f>IF($A216="","",IF($H216&lt;=0,"Liquidada",IF(AND($K216&lt;&gt;"",$K216&lt;TODAY()),"Vencida",IF($G216&gt;0,"Parcial","Pendiente"))))</f>
        <v/>
      </c>
      <c r="N216" s="3" t="n"/>
      <c r="O216" s="3" t="n"/>
    </row>
    <row r="217">
      <c r="A217" s="3" t="n"/>
      <c r="B217" s="4" t="n"/>
      <c r="C217" s="3" t="n"/>
      <c r="D217" s="3" t="n"/>
      <c r="E217" s="3" t="n"/>
      <c r="F217" s="5" t="n"/>
      <c r="G217" s="6">
        <f>IF($A217="","",SUMIFS(Pagos!$D:$D,Pagos!$A:$A,$A217,Pagos!$F:$F,"Pagado"))</f>
        <v/>
      </c>
      <c r="H217" s="6">
        <f>IF($A217="","",$F217-$G217)</f>
        <v/>
      </c>
      <c r="I217" s="7">
        <f>IF($A217="","",IF($F217=0,0,$G217/$F217))</f>
        <v/>
      </c>
      <c r="J217" s="8">
        <f>IF($A217="","",IFERROR(MAXIFS(Pagos!$C:$C,Pagos!$A:$A,$A217,Pagos!$F:$F,"Pagado"),""))</f>
        <v/>
      </c>
      <c r="K217" s="8">
        <f>IF($A217="","",IFERROR(MINIFS(Pagos!$C:$C,Pagos!$A:$A,$A217,Pagos!$F:$F,"Programado"),""))</f>
        <v/>
      </c>
      <c r="L217" s="9">
        <f>IF($A217="","",IF($K217="","",$K217-TODAY()))</f>
        <v/>
      </c>
      <c r="M217" s="9">
        <f>IF($A217="","",IF($H217&lt;=0,"Liquidada",IF(AND($K217&lt;&gt;"",$K217&lt;TODAY()),"Vencida",IF($G217&gt;0,"Parcial","Pendiente"))))</f>
        <v/>
      </c>
      <c r="N217" s="3" t="n"/>
      <c r="O217" s="3" t="n"/>
    </row>
    <row r="218">
      <c r="A218" s="3" t="n"/>
      <c r="B218" s="4" t="n"/>
      <c r="C218" s="3" t="n"/>
      <c r="D218" s="3" t="n"/>
      <c r="E218" s="3" t="n"/>
      <c r="F218" s="5" t="n"/>
      <c r="G218" s="6">
        <f>IF($A218="","",SUMIFS(Pagos!$D:$D,Pagos!$A:$A,$A218,Pagos!$F:$F,"Pagado"))</f>
        <v/>
      </c>
      <c r="H218" s="6">
        <f>IF($A218="","",$F218-$G218)</f>
        <v/>
      </c>
      <c r="I218" s="7">
        <f>IF($A218="","",IF($F218=0,0,$G218/$F218))</f>
        <v/>
      </c>
      <c r="J218" s="8">
        <f>IF($A218="","",IFERROR(MAXIFS(Pagos!$C:$C,Pagos!$A:$A,$A218,Pagos!$F:$F,"Pagado"),""))</f>
        <v/>
      </c>
      <c r="K218" s="8">
        <f>IF($A218="","",IFERROR(MINIFS(Pagos!$C:$C,Pagos!$A:$A,$A218,Pagos!$F:$F,"Programado"),""))</f>
        <v/>
      </c>
      <c r="L218" s="9">
        <f>IF($A218="","",IF($K218="","",$K218-TODAY()))</f>
        <v/>
      </c>
      <c r="M218" s="9">
        <f>IF($A218="","",IF($H218&lt;=0,"Liquidada",IF(AND($K218&lt;&gt;"",$K218&lt;TODAY()),"Vencida",IF($G218&gt;0,"Parcial","Pendiente"))))</f>
        <v/>
      </c>
      <c r="N218" s="3" t="n"/>
      <c r="O218" s="3" t="n"/>
    </row>
    <row r="219">
      <c r="A219" s="3" t="n"/>
      <c r="B219" s="4" t="n"/>
      <c r="C219" s="3" t="n"/>
      <c r="D219" s="3" t="n"/>
      <c r="E219" s="3" t="n"/>
      <c r="F219" s="5" t="n"/>
      <c r="G219" s="6">
        <f>IF($A219="","",SUMIFS(Pagos!$D:$D,Pagos!$A:$A,$A219,Pagos!$F:$F,"Pagado"))</f>
        <v/>
      </c>
      <c r="H219" s="6">
        <f>IF($A219="","",$F219-$G219)</f>
        <v/>
      </c>
      <c r="I219" s="7">
        <f>IF($A219="","",IF($F219=0,0,$G219/$F219))</f>
        <v/>
      </c>
      <c r="J219" s="8">
        <f>IF($A219="","",IFERROR(MAXIFS(Pagos!$C:$C,Pagos!$A:$A,$A219,Pagos!$F:$F,"Pagado"),""))</f>
        <v/>
      </c>
      <c r="K219" s="8">
        <f>IF($A219="","",IFERROR(MINIFS(Pagos!$C:$C,Pagos!$A:$A,$A219,Pagos!$F:$F,"Programado"),""))</f>
        <v/>
      </c>
      <c r="L219" s="9">
        <f>IF($A219="","",IF($K219="","",$K219-TODAY()))</f>
        <v/>
      </c>
      <c r="M219" s="9">
        <f>IF($A219="","",IF($H219&lt;=0,"Liquidada",IF(AND($K219&lt;&gt;"",$K219&lt;TODAY()),"Vencida",IF($G219&gt;0,"Parcial","Pendiente"))))</f>
        <v/>
      </c>
      <c r="N219" s="3" t="n"/>
      <c r="O219" s="3" t="n"/>
    </row>
    <row r="220">
      <c r="A220" s="3" t="n"/>
      <c r="B220" s="4" t="n"/>
      <c r="C220" s="3" t="n"/>
      <c r="D220" s="3" t="n"/>
      <c r="E220" s="3" t="n"/>
      <c r="F220" s="5" t="n"/>
      <c r="G220" s="6">
        <f>IF($A220="","",SUMIFS(Pagos!$D:$D,Pagos!$A:$A,$A220,Pagos!$F:$F,"Pagado"))</f>
        <v/>
      </c>
      <c r="H220" s="6">
        <f>IF($A220="","",$F220-$G220)</f>
        <v/>
      </c>
      <c r="I220" s="7">
        <f>IF($A220="","",IF($F220=0,0,$G220/$F220))</f>
        <v/>
      </c>
      <c r="J220" s="8">
        <f>IF($A220="","",IFERROR(MAXIFS(Pagos!$C:$C,Pagos!$A:$A,$A220,Pagos!$F:$F,"Pagado"),""))</f>
        <v/>
      </c>
      <c r="K220" s="8">
        <f>IF($A220="","",IFERROR(MINIFS(Pagos!$C:$C,Pagos!$A:$A,$A220,Pagos!$F:$F,"Programado"),""))</f>
        <v/>
      </c>
      <c r="L220" s="9">
        <f>IF($A220="","",IF($K220="","",$K220-TODAY()))</f>
        <v/>
      </c>
      <c r="M220" s="9">
        <f>IF($A220="","",IF($H220&lt;=0,"Liquidada",IF(AND($K220&lt;&gt;"",$K220&lt;TODAY()),"Vencida",IF($G220&gt;0,"Parcial","Pendiente"))))</f>
        <v/>
      </c>
      <c r="N220" s="3" t="n"/>
      <c r="O220" s="3" t="n"/>
    </row>
    <row r="221">
      <c r="A221" s="3" t="n"/>
      <c r="B221" s="4" t="n"/>
      <c r="C221" s="3" t="n"/>
      <c r="D221" s="3" t="n"/>
      <c r="E221" s="3" t="n"/>
      <c r="F221" s="5" t="n"/>
      <c r="G221" s="6">
        <f>IF($A221="","",SUMIFS(Pagos!$D:$D,Pagos!$A:$A,$A221,Pagos!$F:$F,"Pagado"))</f>
        <v/>
      </c>
      <c r="H221" s="6">
        <f>IF($A221="","",$F221-$G221)</f>
        <v/>
      </c>
      <c r="I221" s="7">
        <f>IF($A221="","",IF($F221=0,0,$G221/$F221))</f>
        <v/>
      </c>
      <c r="J221" s="8">
        <f>IF($A221="","",IFERROR(MAXIFS(Pagos!$C:$C,Pagos!$A:$A,$A221,Pagos!$F:$F,"Pagado"),""))</f>
        <v/>
      </c>
      <c r="K221" s="8">
        <f>IF($A221="","",IFERROR(MINIFS(Pagos!$C:$C,Pagos!$A:$A,$A221,Pagos!$F:$F,"Programado"),""))</f>
        <v/>
      </c>
      <c r="L221" s="9">
        <f>IF($A221="","",IF($K221="","",$K221-TODAY()))</f>
        <v/>
      </c>
      <c r="M221" s="9">
        <f>IF($A221="","",IF($H221&lt;=0,"Liquidada",IF(AND($K221&lt;&gt;"",$K221&lt;TODAY()),"Vencida",IF($G221&gt;0,"Parcial","Pendiente"))))</f>
        <v/>
      </c>
      <c r="N221" s="3" t="n"/>
      <c r="O221" s="3" t="n"/>
    </row>
    <row r="222">
      <c r="A222" s="3" t="n"/>
      <c r="B222" s="4" t="n"/>
      <c r="C222" s="3" t="n"/>
      <c r="D222" s="3" t="n"/>
      <c r="E222" s="3" t="n"/>
      <c r="F222" s="5" t="n"/>
      <c r="G222" s="6">
        <f>IF($A222="","",SUMIFS(Pagos!$D:$D,Pagos!$A:$A,$A222,Pagos!$F:$F,"Pagado"))</f>
        <v/>
      </c>
      <c r="H222" s="6">
        <f>IF($A222="","",$F222-$G222)</f>
        <v/>
      </c>
      <c r="I222" s="7">
        <f>IF($A222="","",IF($F222=0,0,$G222/$F222))</f>
        <v/>
      </c>
      <c r="J222" s="8">
        <f>IF($A222="","",IFERROR(MAXIFS(Pagos!$C:$C,Pagos!$A:$A,$A222,Pagos!$F:$F,"Pagado"),""))</f>
        <v/>
      </c>
      <c r="K222" s="8">
        <f>IF($A222="","",IFERROR(MINIFS(Pagos!$C:$C,Pagos!$A:$A,$A222,Pagos!$F:$F,"Programado"),""))</f>
        <v/>
      </c>
      <c r="L222" s="9">
        <f>IF($A222="","",IF($K222="","",$K222-TODAY()))</f>
        <v/>
      </c>
      <c r="M222" s="9">
        <f>IF($A222="","",IF($H222&lt;=0,"Liquidada",IF(AND($K222&lt;&gt;"",$K222&lt;TODAY()),"Vencida",IF($G222&gt;0,"Parcial","Pendiente"))))</f>
        <v/>
      </c>
      <c r="N222" s="3" t="n"/>
      <c r="O222" s="3" t="n"/>
    </row>
    <row r="223">
      <c r="A223" s="3" t="n"/>
      <c r="B223" s="4" t="n"/>
      <c r="C223" s="3" t="n"/>
      <c r="D223" s="3" t="n"/>
      <c r="E223" s="3" t="n"/>
      <c r="F223" s="5" t="n"/>
      <c r="G223" s="6">
        <f>IF($A223="","",SUMIFS(Pagos!$D:$D,Pagos!$A:$A,$A223,Pagos!$F:$F,"Pagado"))</f>
        <v/>
      </c>
      <c r="H223" s="6">
        <f>IF($A223="","",$F223-$G223)</f>
        <v/>
      </c>
      <c r="I223" s="7">
        <f>IF($A223="","",IF($F223=0,0,$G223/$F223))</f>
        <v/>
      </c>
      <c r="J223" s="8">
        <f>IF($A223="","",IFERROR(MAXIFS(Pagos!$C:$C,Pagos!$A:$A,$A223,Pagos!$F:$F,"Pagado"),""))</f>
        <v/>
      </c>
      <c r="K223" s="8">
        <f>IF($A223="","",IFERROR(MINIFS(Pagos!$C:$C,Pagos!$A:$A,$A223,Pagos!$F:$F,"Programado"),""))</f>
        <v/>
      </c>
      <c r="L223" s="9">
        <f>IF($A223="","",IF($K223="","",$K223-TODAY()))</f>
        <v/>
      </c>
      <c r="M223" s="9">
        <f>IF($A223="","",IF($H223&lt;=0,"Liquidada",IF(AND($K223&lt;&gt;"",$K223&lt;TODAY()),"Vencida",IF($G223&gt;0,"Parcial","Pendiente"))))</f>
        <v/>
      </c>
      <c r="N223" s="3" t="n"/>
      <c r="O223" s="3" t="n"/>
    </row>
    <row r="224">
      <c r="A224" s="3" t="n"/>
      <c r="B224" s="4" t="n"/>
      <c r="C224" s="3" t="n"/>
      <c r="D224" s="3" t="n"/>
      <c r="E224" s="3" t="n"/>
      <c r="F224" s="5" t="n"/>
      <c r="G224" s="6">
        <f>IF($A224="","",SUMIFS(Pagos!$D:$D,Pagos!$A:$A,$A224,Pagos!$F:$F,"Pagado"))</f>
        <v/>
      </c>
      <c r="H224" s="6">
        <f>IF($A224="","",$F224-$G224)</f>
        <v/>
      </c>
      <c r="I224" s="7">
        <f>IF($A224="","",IF($F224=0,0,$G224/$F224))</f>
        <v/>
      </c>
      <c r="J224" s="8">
        <f>IF($A224="","",IFERROR(MAXIFS(Pagos!$C:$C,Pagos!$A:$A,$A224,Pagos!$F:$F,"Pagado"),""))</f>
        <v/>
      </c>
      <c r="K224" s="8">
        <f>IF($A224="","",IFERROR(MINIFS(Pagos!$C:$C,Pagos!$A:$A,$A224,Pagos!$F:$F,"Programado"),""))</f>
        <v/>
      </c>
      <c r="L224" s="9">
        <f>IF($A224="","",IF($K224="","",$K224-TODAY()))</f>
        <v/>
      </c>
      <c r="M224" s="9">
        <f>IF($A224="","",IF($H224&lt;=0,"Liquidada",IF(AND($K224&lt;&gt;"",$K224&lt;TODAY()),"Vencida",IF($G224&gt;0,"Parcial","Pendiente"))))</f>
        <v/>
      </c>
      <c r="N224" s="3" t="n"/>
      <c r="O224" s="3" t="n"/>
    </row>
    <row r="225">
      <c r="A225" s="3" t="n"/>
      <c r="B225" s="4" t="n"/>
      <c r="C225" s="3" t="n"/>
      <c r="D225" s="3" t="n"/>
      <c r="E225" s="3" t="n"/>
      <c r="F225" s="5" t="n"/>
      <c r="G225" s="6">
        <f>IF($A225="","",SUMIFS(Pagos!$D:$D,Pagos!$A:$A,$A225,Pagos!$F:$F,"Pagado"))</f>
        <v/>
      </c>
      <c r="H225" s="6">
        <f>IF($A225="","",$F225-$G225)</f>
        <v/>
      </c>
      <c r="I225" s="7">
        <f>IF($A225="","",IF($F225=0,0,$G225/$F225))</f>
        <v/>
      </c>
      <c r="J225" s="8">
        <f>IF($A225="","",IFERROR(MAXIFS(Pagos!$C:$C,Pagos!$A:$A,$A225,Pagos!$F:$F,"Pagado"),""))</f>
        <v/>
      </c>
      <c r="K225" s="8">
        <f>IF($A225="","",IFERROR(MINIFS(Pagos!$C:$C,Pagos!$A:$A,$A225,Pagos!$F:$F,"Programado"),""))</f>
        <v/>
      </c>
      <c r="L225" s="9">
        <f>IF($A225="","",IF($K225="","",$K225-TODAY()))</f>
        <v/>
      </c>
      <c r="M225" s="9">
        <f>IF($A225="","",IF($H225&lt;=0,"Liquidada",IF(AND($K225&lt;&gt;"",$K225&lt;TODAY()),"Vencida",IF($G225&gt;0,"Parcial","Pendiente"))))</f>
        <v/>
      </c>
      <c r="N225" s="3" t="n"/>
      <c r="O225" s="3" t="n"/>
    </row>
    <row r="226">
      <c r="A226" s="3" t="n"/>
      <c r="B226" s="4" t="n"/>
      <c r="C226" s="3" t="n"/>
      <c r="D226" s="3" t="n"/>
      <c r="E226" s="3" t="n"/>
      <c r="F226" s="5" t="n"/>
      <c r="G226" s="6">
        <f>IF($A226="","",SUMIFS(Pagos!$D:$D,Pagos!$A:$A,$A226,Pagos!$F:$F,"Pagado"))</f>
        <v/>
      </c>
      <c r="H226" s="6">
        <f>IF($A226="","",$F226-$G226)</f>
        <v/>
      </c>
      <c r="I226" s="7">
        <f>IF($A226="","",IF($F226=0,0,$G226/$F226))</f>
        <v/>
      </c>
      <c r="J226" s="8">
        <f>IF($A226="","",IFERROR(MAXIFS(Pagos!$C:$C,Pagos!$A:$A,$A226,Pagos!$F:$F,"Pagado"),""))</f>
        <v/>
      </c>
      <c r="K226" s="8">
        <f>IF($A226="","",IFERROR(MINIFS(Pagos!$C:$C,Pagos!$A:$A,$A226,Pagos!$F:$F,"Programado"),""))</f>
        <v/>
      </c>
      <c r="L226" s="9">
        <f>IF($A226="","",IF($K226="","",$K226-TODAY()))</f>
        <v/>
      </c>
      <c r="M226" s="9">
        <f>IF($A226="","",IF($H226&lt;=0,"Liquidada",IF(AND($K226&lt;&gt;"",$K226&lt;TODAY()),"Vencida",IF($G226&gt;0,"Parcial","Pendiente"))))</f>
        <v/>
      </c>
      <c r="N226" s="3" t="n"/>
      <c r="O226" s="3" t="n"/>
    </row>
    <row r="227">
      <c r="A227" s="3" t="n"/>
      <c r="B227" s="4" t="n"/>
      <c r="C227" s="3" t="n"/>
      <c r="D227" s="3" t="n"/>
      <c r="E227" s="3" t="n"/>
      <c r="F227" s="5" t="n"/>
      <c r="G227" s="6">
        <f>IF($A227="","",SUMIFS(Pagos!$D:$D,Pagos!$A:$A,$A227,Pagos!$F:$F,"Pagado"))</f>
        <v/>
      </c>
      <c r="H227" s="6">
        <f>IF($A227="","",$F227-$G227)</f>
        <v/>
      </c>
      <c r="I227" s="7">
        <f>IF($A227="","",IF($F227=0,0,$G227/$F227))</f>
        <v/>
      </c>
      <c r="J227" s="8">
        <f>IF($A227="","",IFERROR(MAXIFS(Pagos!$C:$C,Pagos!$A:$A,$A227,Pagos!$F:$F,"Pagado"),""))</f>
        <v/>
      </c>
      <c r="K227" s="8">
        <f>IF($A227="","",IFERROR(MINIFS(Pagos!$C:$C,Pagos!$A:$A,$A227,Pagos!$F:$F,"Programado"),""))</f>
        <v/>
      </c>
      <c r="L227" s="9">
        <f>IF($A227="","",IF($K227="","",$K227-TODAY()))</f>
        <v/>
      </c>
      <c r="M227" s="9">
        <f>IF($A227="","",IF($H227&lt;=0,"Liquidada",IF(AND($K227&lt;&gt;"",$K227&lt;TODAY()),"Vencida",IF($G227&gt;0,"Parcial","Pendiente"))))</f>
        <v/>
      </c>
      <c r="N227" s="3" t="n"/>
      <c r="O227" s="3" t="n"/>
    </row>
    <row r="228">
      <c r="A228" s="3" t="n"/>
      <c r="B228" s="4" t="n"/>
      <c r="C228" s="3" t="n"/>
      <c r="D228" s="3" t="n"/>
      <c r="E228" s="3" t="n"/>
      <c r="F228" s="5" t="n"/>
      <c r="G228" s="6">
        <f>IF($A228="","",SUMIFS(Pagos!$D:$D,Pagos!$A:$A,$A228,Pagos!$F:$F,"Pagado"))</f>
        <v/>
      </c>
      <c r="H228" s="6">
        <f>IF($A228="","",$F228-$G228)</f>
        <v/>
      </c>
      <c r="I228" s="7">
        <f>IF($A228="","",IF($F228=0,0,$G228/$F228))</f>
        <v/>
      </c>
      <c r="J228" s="8">
        <f>IF($A228="","",IFERROR(MAXIFS(Pagos!$C:$C,Pagos!$A:$A,$A228,Pagos!$F:$F,"Pagado"),""))</f>
        <v/>
      </c>
      <c r="K228" s="8">
        <f>IF($A228="","",IFERROR(MINIFS(Pagos!$C:$C,Pagos!$A:$A,$A228,Pagos!$F:$F,"Programado"),""))</f>
        <v/>
      </c>
      <c r="L228" s="9">
        <f>IF($A228="","",IF($K228="","",$K228-TODAY()))</f>
        <v/>
      </c>
      <c r="M228" s="9">
        <f>IF($A228="","",IF($H228&lt;=0,"Liquidada",IF(AND($K228&lt;&gt;"",$K228&lt;TODAY()),"Vencida",IF($G228&gt;0,"Parcial","Pendiente"))))</f>
        <v/>
      </c>
      <c r="N228" s="3" t="n"/>
      <c r="O228" s="3" t="n"/>
    </row>
    <row r="229">
      <c r="A229" s="3" t="n"/>
      <c r="B229" s="4" t="n"/>
      <c r="C229" s="3" t="n"/>
      <c r="D229" s="3" t="n"/>
      <c r="E229" s="3" t="n"/>
      <c r="F229" s="5" t="n"/>
      <c r="G229" s="6">
        <f>IF($A229="","",SUMIFS(Pagos!$D:$D,Pagos!$A:$A,$A229,Pagos!$F:$F,"Pagado"))</f>
        <v/>
      </c>
      <c r="H229" s="6">
        <f>IF($A229="","",$F229-$G229)</f>
        <v/>
      </c>
      <c r="I229" s="7">
        <f>IF($A229="","",IF($F229=0,0,$G229/$F229))</f>
        <v/>
      </c>
      <c r="J229" s="8">
        <f>IF($A229="","",IFERROR(MAXIFS(Pagos!$C:$C,Pagos!$A:$A,$A229,Pagos!$F:$F,"Pagado"),""))</f>
        <v/>
      </c>
      <c r="K229" s="8">
        <f>IF($A229="","",IFERROR(MINIFS(Pagos!$C:$C,Pagos!$A:$A,$A229,Pagos!$F:$F,"Programado"),""))</f>
        <v/>
      </c>
      <c r="L229" s="9">
        <f>IF($A229="","",IF($K229="","",$K229-TODAY()))</f>
        <v/>
      </c>
      <c r="M229" s="9">
        <f>IF($A229="","",IF($H229&lt;=0,"Liquidada",IF(AND($K229&lt;&gt;"",$K229&lt;TODAY()),"Vencida",IF($G229&gt;0,"Parcial","Pendiente"))))</f>
        <v/>
      </c>
      <c r="N229" s="3" t="n"/>
      <c r="O229" s="3" t="n"/>
    </row>
    <row r="230">
      <c r="A230" s="3" t="n"/>
      <c r="B230" s="4" t="n"/>
      <c r="C230" s="3" t="n"/>
      <c r="D230" s="3" t="n"/>
      <c r="E230" s="3" t="n"/>
      <c r="F230" s="5" t="n"/>
      <c r="G230" s="6">
        <f>IF($A230="","",SUMIFS(Pagos!$D:$D,Pagos!$A:$A,$A230,Pagos!$F:$F,"Pagado"))</f>
        <v/>
      </c>
      <c r="H230" s="6">
        <f>IF($A230="","",$F230-$G230)</f>
        <v/>
      </c>
      <c r="I230" s="7">
        <f>IF($A230="","",IF($F230=0,0,$G230/$F230))</f>
        <v/>
      </c>
      <c r="J230" s="8">
        <f>IF($A230="","",IFERROR(MAXIFS(Pagos!$C:$C,Pagos!$A:$A,$A230,Pagos!$F:$F,"Pagado"),""))</f>
        <v/>
      </c>
      <c r="K230" s="8">
        <f>IF($A230="","",IFERROR(MINIFS(Pagos!$C:$C,Pagos!$A:$A,$A230,Pagos!$F:$F,"Programado"),""))</f>
        <v/>
      </c>
      <c r="L230" s="9">
        <f>IF($A230="","",IF($K230="","",$K230-TODAY()))</f>
        <v/>
      </c>
      <c r="M230" s="9">
        <f>IF($A230="","",IF($H230&lt;=0,"Liquidada",IF(AND($K230&lt;&gt;"",$K230&lt;TODAY()),"Vencida",IF($G230&gt;0,"Parcial","Pendiente"))))</f>
        <v/>
      </c>
      <c r="N230" s="3" t="n"/>
      <c r="O230" s="3" t="n"/>
    </row>
    <row r="231">
      <c r="A231" s="3" t="n"/>
      <c r="B231" s="4" t="n"/>
      <c r="C231" s="3" t="n"/>
      <c r="D231" s="3" t="n"/>
      <c r="E231" s="3" t="n"/>
      <c r="F231" s="5" t="n"/>
      <c r="G231" s="6">
        <f>IF($A231="","",SUMIFS(Pagos!$D:$D,Pagos!$A:$A,$A231,Pagos!$F:$F,"Pagado"))</f>
        <v/>
      </c>
      <c r="H231" s="6">
        <f>IF($A231="","",$F231-$G231)</f>
        <v/>
      </c>
      <c r="I231" s="7">
        <f>IF($A231="","",IF($F231=0,0,$G231/$F231))</f>
        <v/>
      </c>
      <c r="J231" s="8">
        <f>IF($A231="","",IFERROR(MAXIFS(Pagos!$C:$C,Pagos!$A:$A,$A231,Pagos!$F:$F,"Pagado"),""))</f>
        <v/>
      </c>
      <c r="K231" s="8">
        <f>IF($A231="","",IFERROR(MINIFS(Pagos!$C:$C,Pagos!$A:$A,$A231,Pagos!$F:$F,"Programado"),""))</f>
        <v/>
      </c>
      <c r="L231" s="9">
        <f>IF($A231="","",IF($K231="","",$K231-TODAY()))</f>
        <v/>
      </c>
      <c r="M231" s="9">
        <f>IF($A231="","",IF($H231&lt;=0,"Liquidada",IF(AND($K231&lt;&gt;"",$K231&lt;TODAY()),"Vencida",IF($G231&gt;0,"Parcial","Pendiente"))))</f>
        <v/>
      </c>
      <c r="N231" s="3" t="n"/>
      <c r="O231" s="3" t="n"/>
    </row>
    <row r="232">
      <c r="A232" s="3" t="n"/>
      <c r="B232" s="4" t="n"/>
      <c r="C232" s="3" t="n"/>
      <c r="D232" s="3" t="n"/>
      <c r="E232" s="3" t="n"/>
      <c r="F232" s="5" t="n"/>
      <c r="G232" s="6">
        <f>IF($A232="","",SUMIFS(Pagos!$D:$D,Pagos!$A:$A,$A232,Pagos!$F:$F,"Pagado"))</f>
        <v/>
      </c>
      <c r="H232" s="6">
        <f>IF($A232="","",$F232-$G232)</f>
        <v/>
      </c>
      <c r="I232" s="7">
        <f>IF($A232="","",IF($F232=0,0,$G232/$F232))</f>
        <v/>
      </c>
      <c r="J232" s="8">
        <f>IF($A232="","",IFERROR(MAXIFS(Pagos!$C:$C,Pagos!$A:$A,$A232,Pagos!$F:$F,"Pagado"),""))</f>
        <v/>
      </c>
      <c r="K232" s="8">
        <f>IF($A232="","",IFERROR(MINIFS(Pagos!$C:$C,Pagos!$A:$A,$A232,Pagos!$F:$F,"Programado"),""))</f>
        <v/>
      </c>
      <c r="L232" s="9">
        <f>IF($A232="","",IF($K232="","",$K232-TODAY()))</f>
        <v/>
      </c>
      <c r="M232" s="9">
        <f>IF($A232="","",IF($H232&lt;=0,"Liquidada",IF(AND($K232&lt;&gt;"",$K232&lt;TODAY()),"Vencida",IF($G232&gt;0,"Parcial","Pendiente"))))</f>
        <v/>
      </c>
      <c r="N232" s="3" t="n"/>
      <c r="O232" s="3" t="n"/>
    </row>
    <row r="233">
      <c r="A233" s="3" t="n"/>
      <c r="B233" s="4" t="n"/>
      <c r="C233" s="3" t="n"/>
      <c r="D233" s="3" t="n"/>
      <c r="E233" s="3" t="n"/>
      <c r="F233" s="5" t="n"/>
      <c r="G233" s="6">
        <f>IF($A233="","",SUMIFS(Pagos!$D:$D,Pagos!$A:$A,$A233,Pagos!$F:$F,"Pagado"))</f>
        <v/>
      </c>
      <c r="H233" s="6">
        <f>IF($A233="","",$F233-$G233)</f>
        <v/>
      </c>
      <c r="I233" s="7">
        <f>IF($A233="","",IF($F233=0,0,$G233/$F233))</f>
        <v/>
      </c>
      <c r="J233" s="8">
        <f>IF($A233="","",IFERROR(MAXIFS(Pagos!$C:$C,Pagos!$A:$A,$A233,Pagos!$F:$F,"Pagado"),""))</f>
        <v/>
      </c>
      <c r="K233" s="8">
        <f>IF($A233="","",IFERROR(MINIFS(Pagos!$C:$C,Pagos!$A:$A,$A233,Pagos!$F:$F,"Programado"),""))</f>
        <v/>
      </c>
      <c r="L233" s="9">
        <f>IF($A233="","",IF($K233="","",$K233-TODAY()))</f>
        <v/>
      </c>
      <c r="M233" s="9">
        <f>IF($A233="","",IF($H233&lt;=0,"Liquidada",IF(AND($K233&lt;&gt;"",$K233&lt;TODAY()),"Vencida",IF($G233&gt;0,"Parcial","Pendiente"))))</f>
        <v/>
      </c>
      <c r="N233" s="3" t="n"/>
      <c r="O233" s="3" t="n"/>
    </row>
    <row r="234">
      <c r="A234" s="3" t="n"/>
      <c r="B234" s="4" t="n"/>
      <c r="C234" s="3" t="n"/>
      <c r="D234" s="3" t="n"/>
      <c r="E234" s="3" t="n"/>
      <c r="F234" s="5" t="n"/>
      <c r="G234" s="6">
        <f>IF($A234="","",SUMIFS(Pagos!$D:$D,Pagos!$A:$A,$A234,Pagos!$F:$F,"Pagado"))</f>
        <v/>
      </c>
      <c r="H234" s="6">
        <f>IF($A234="","",$F234-$G234)</f>
        <v/>
      </c>
      <c r="I234" s="7">
        <f>IF($A234="","",IF($F234=0,0,$G234/$F234))</f>
        <v/>
      </c>
      <c r="J234" s="8">
        <f>IF($A234="","",IFERROR(MAXIFS(Pagos!$C:$C,Pagos!$A:$A,$A234,Pagos!$F:$F,"Pagado"),""))</f>
        <v/>
      </c>
      <c r="K234" s="8">
        <f>IF($A234="","",IFERROR(MINIFS(Pagos!$C:$C,Pagos!$A:$A,$A234,Pagos!$F:$F,"Programado"),""))</f>
        <v/>
      </c>
      <c r="L234" s="9">
        <f>IF($A234="","",IF($K234="","",$K234-TODAY()))</f>
        <v/>
      </c>
      <c r="M234" s="9">
        <f>IF($A234="","",IF($H234&lt;=0,"Liquidada",IF(AND($K234&lt;&gt;"",$K234&lt;TODAY()),"Vencida",IF($G234&gt;0,"Parcial","Pendiente"))))</f>
        <v/>
      </c>
      <c r="N234" s="3" t="n"/>
      <c r="O234" s="3" t="n"/>
    </row>
    <row r="235">
      <c r="A235" s="3" t="n"/>
      <c r="B235" s="4" t="n"/>
      <c r="C235" s="3" t="n"/>
      <c r="D235" s="3" t="n"/>
      <c r="E235" s="3" t="n"/>
      <c r="F235" s="5" t="n"/>
      <c r="G235" s="6">
        <f>IF($A235="","",SUMIFS(Pagos!$D:$D,Pagos!$A:$A,$A235,Pagos!$F:$F,"Pagado"))</f>
        <v/>
      </c>
      <c r="H235" s="6">
        <f>IF($A235="","",$F235-$G235)</f>
        <v/>
      </c>
      <c r="I235" s="7">
        <f>IF($A235="","",IF($F235=0,0,$G235/$F235))</f>
        <v/>
      </c>
      <c r="J235" s="8">
        <f>IF($A235="","",IFERROR(MAXIFS(Pagos!$C:$C,Pagos!$A:$A,$A235,Pagos!$F:$F,"Pagado"),""))</f>
        <v/>
      </c>
      <c r="K235" s="8">
        <f>IF($A235="","",IFERROR(MINIFS(Pagos!$C:$C,Pagos!$A:$A,$A235,Pagos!$F:$F,"Programado"),""))</f>
        <v/>
      </c>
      <c r="L235" s="9">
        <f>IF($A235="","",IF($K235="","",$K235-TODAY()))</f>
        <v/>
      </c>
      <c r="M235" s="9">
        <f>IF($A235="","",IF($H235&lt;=0,"Liquidada",IF(AND($K235&lt;&gt;"",$K235&lt;TODAY()),"Vencida",IF($G235&gt;0,"Parcial","Pendiente"))))</f>
        <v/>
      </c>
      <c r="N235" s="3" t="n"/>
      <c r="O235" s="3" t="n"/>
    </row>
    <row r="236">
      <c r="A236" s="3" t="n"/>
      <c r="B236" s="4" t="n"/>
      <c r="C236" s="3" t="n"/>
      <c r="D236" s="3" t="n"/>
      <c r="E236" s="3" t="n"/>
      <c r="F236" s="5" t="n"/>
      <c r="G236" s="6">
        <f>IF($A236="","",SUMIFS(Pagos!$D:$D,Pagos!$A:$A,$A236,Pagos!$F:$F,"Pagado"))</f>
        <v/>
      </c>
      <c r="H236" s="6">
        <f>IF($A236="","",$F236-$G236)</f>
        <v/>
      </c>
      <c r="I236" s="7">
        <f>IF($A236="","",IF($F236=0,0,$G236/$F236))</f>
        <v/>
      </c>
      <c r="J236" s="8">
        <f>IF($A236="","",IFERROR(MAXIFS(Pagos!$C:$C,Pagos!$A:$A,$A236,Pagos!$F:$F,"Pagado"),""))</f>
        <v/>
      </c>
      <c r="K236" s="8">
        <f>IF($A236="","",IFERROR(MINIFS(Pagos!$C:$C,Pagos!$A:$A,$A236,Pagos!$F:$F,"Programado"),""))</f>
        <v/>
      </c>
      <c r="L236" s="9">
        <f>IF($A236="","",IF($K236="","",$K236-TODAY()))</f>
        <v/>
      </c>
      <c r="M236" s="9">
        <f>IF($A236="","",IF($H236&lt;=0,"Liquidada",IF(AND($K236&lt;&gt;"",$K236&lt;TODAY()),"Vencida",IF($G236&gt;0,"Parcial","Pendiente"))))</f>
        <v/>
      </c>
      <c r="N236" s="3" t="n"/>
      <c r="O236" s="3" t="n"/>
    </row>
    <row r="237">
      <c r="A237" s="3" t="n"/>
      <c r="B237" s="4" t="n"/>
      <c r="C237" s="3" t="n"/>
      <c r="D237" s="3" t="n"/>
      <c r="E237" s="3" t="n"/>
      <c r="F237" s="5" t="n"/>
      <c r="G237" s="6">
        <f>IF($A237="","",SUMIFS(Pagos!$D:$D,Pagos!$A:$A,$A237,Pagos!$F:$F,"Pagado"))</f>
        <v/>
      </c>
      <c r="H237" s="6">
        <f>IF($A237="","",$F237-$G237)</f>
        <v/>
      </c>
      <c r="I237" s="7">
        <f>IF($A237="","",IF($F237=0,0,$G237/$F237))</f>
        <v/>
      </c>
      <c r="J237" s="8">
        <f>IF($A237="","",IFERROR(MAXIFS(Pagos!$C:$C,Pagos!$A:$A,$A237,Pagos!$F:$F,"Pagado"),""))</f>
        <v/>
      </c>
      <c r="K237" s="8">
        <f>IF($A237="","",IFERROR(MINIFS(Pagos!$C:$C,Pagos!$A:$A,$A237,Pagos!$F:$F,"Programado"),""))</f>
        <v/>
      </c>
      <c r="L237" s="9">
        <f>IF($A237="","",IF($K237="","",$K237-TODAY()))</f>
        <v/>
      </c>
      <c r="M237" s="9">
        <f>IF($A237="","",IF($H237&lt;=0,"Liquidada",IF(AND($K237&lt;&gt;"",$K237&lt;TODAY()),"Vencida",IF($G237&gt;0,"Parcial","Pendiente"))))</f>
        <v/>
      </c>
      <c r="N237" s="3" t="n"/>
      <c r="O237" s="3" t="n"/>
    </row>
    <row r="238">
      <c r="A238" s="3" t="n"/>
      <c r="B238" s="4" t="n"/>
      <c r="C238" s="3" t="n"/>
      <c r="D238" s="3" t="n"/>
      <c r="E238" s="3" t="n"/>
      <c r="F238" s="5" t="n"/>
      <c r="G238" s="6">
        <f>IF($A238="","",SUMIFS(Pagos!$D:$D,Pagos!$A:$A,$A238,Pagos!$F:$F,"Pagado"))</f>
        <v/>
      </c>
      <c r="H238" s="6">
        <f>IF($A238="","",$F238-$G238)</f>
        <v/>
      </c>
      <c r="I238" s="7">
        <f>IF($A238="","",IF($F238=0,0,$G238/$F238))</f>
        <v/>
      </c>
      <c r="J238" s="8">
        <f>IF($A238="","",IFERROR(MAXIFS(Pagos!$C:$C,Pagos!$A:$A,$A238,Pagos!$F:$F,"Pagado"),""))</f>
        <v/>
      </c>
      <c r="K238" s="8">
        <f>IF($A238="","",IFERROR(MINIFS(Pagos!$C:$C,Pagos!$A:$A,$A238,Pagos!$F:$F,"Programado"),""))</f>
        <v/>
      </c>
      <c r="L238" s="9">
        <f>IF($A238="","",IF($K238="","",$K238-TODAY()))</f>
        <v/>
      </c>
      <c r="M238" s="9">
        <f>IF($A238="","",IF($H238&lt;=0,"Liquidada",IF(AND($K238&lt;&gt;"",$K238&lt;TODAY()),"Vencida",IF($G238&gt;0,"Parcial","Pendiente"))))</f>
        <v/>
      </c>
      <c r="N238" s="3" t="n"/>
      <c r="O238" s="3" t="n"/>
    </row>
    <row r="239">
      <c r="A239" s="3" t="n"/>
      <c r="B239" s="4" t="n"/>
      <c r="C239" s="3" t="n"/>
      <c r="D239" s="3" t="n"/>
      <c r="E239" s="3" t="n"/>
      <c r="F239" s="5" t="n"/>
      <c r="G239" s="6">
        <f>IF($A239="","",SUMIFS(Pagos!$D:$D,Pagos!$A:$A,$A239,Pagos!$F:$F,"Pagado"))</f>
        <v/>
      </c>
      <c r="H239" s="6">
        <f>IF($A239="","",$F239-$G239)</f>
        <v/>
      </c>
      <c r="I239" s="7">
        <f>IF($A239="","",IF($F239=0,0,$G239/$F239))</f>
        <v/>
      </c>
      <c r="J239" s="8">
        <f>IF($A239="","",IFERROR(MAXIFS(Pagos!$C:$C,Pagos!$A:$A,$A239,Pagos!$F:$F,"Pagado"),""))</f>
        <v/>
      </c>
      <c r="K239" s="8">
        <f>IF($A239="","",IFERROR(MINIFS(Pagos!$C:$C,Pagos!$A:$A,$A239,Pagos!$F:$F,"Programado"),""))</f>
        <v/>
      </c>
      <c r="L239" s="9">
        <f>IF($A239="","",IF($K239="","",$K239-TODAY()))</f>
        <v/>
      </c>
      <c r="M239" s="9">
        <f>IF($A239="","",IF($H239&lt;=0,"Liquidada",IF(AND($K239&lt;&gt;"",$K239&lt;TODAY()),"Vencida",IF($G239&gt;0,"Parcial","Pendiente"))))</f>
        <v/>
      </c>
      <c r="N239" s="3" t="n"/>
      <c r="O239" s="3" t="n"/>
    </row>
    <row r="240">
      <c r="A240" s="3" t="n"/>
      <c r="B240" s="4" t="n"/>
      <c r="C240" s="3" t="n"/>
      <c r="D240" s="3" t="n"/>
      <c r="E240" s="3" t="n"/>
      <c r="F240" s="5" t="n"/>
      <c r="G240" s="6">
        <f>IF($A240="","",SUMIFS(Pagos!$D:$D,Pagos!$A:$A,$A240,Pagos!$F:$F,"Pagado"))</f>
        <v/>
      </c>
      <c r="H240" s="6">
        <f>IF($A240="","",$F240-$G240)</f>
        <v/>
      </c>
      <c r="I240" s="7">
        <f>IF($A240="","",IF($F240=0,0,$G240/$F240))</f>
        <v/>
      </c>
      <c r="J240" s="8">
        <f>IF($A240="","",IFERROR(MAXIFS(Pagos!$C:$C,Pagos!$A:$A,$A240,Pagos!$F:$F,"Pagado"),""))</f>
        <v/>
      </c>
      <c r="K240" s="8">
        <f>IF($A240="","",IFERROR(MINIFS(Pagos!$C:$C,Pagos!$A:$A,$A240,Pagos!$F:$F,"Programado"),""))</f>
        <v/>
      </c>
      <c r="L240" s="9">
        <f>IF($A240="","",IF($K240="","",$K240-TODAY()))</f>
        <v/>
      </c>
      <c r="M240" s="9">
        <f>IF($A240="","",IF($H240&lt;=0,"Liquidada",IF(AND($K240&lt;&gt;"",$K240&lt;TODAY()),"Vencida",IF($G240&gt;0,"Parcial","Pendiente"))))</f>
        <v/>
      </c>
      <c r="N240" s="3" t="n"/>
      <c r="O240" s="3" t="n"/>
    </row>
    <row r="241">
      <c r="A241" s="3" t="n"/>
      <c r="B241" s="4" t="n"/>
      <c r="C241" s="3" t="n"/>
      <c r="D241" s="3" t="n"/>
      <c r="E241" s="3" t="n"/>
      <c r="F241" s="5" t="n"/>
      <c r="G241" s="6">
        <f>IF($A241="","",SUMIFS(Pagos!$D:$D,Pagos!$A:$A,$A241,Pagos!$F:$F,"Pagado"))</f>
        <v/>
      </c>
      <c r="H241" s="6">
        <f>IF($A241="","",$F241-$G241)</f>
        <v/>
      </c>
      <c r="I241" s="7">
        <f>IF($A241="","",IF($F241=0,0,$G241/$F241))</f>
        <v/>
      </c>
      <c r="J241" s="8">
        <f>IF($A241="","",IFERROR(MAXIFS(Pagos!$C:$C,Pagos!$A:$A,$A241,Pagos!$F:$F,"Pagado"),""))</f>
        <v/>
      </c>
      <c r="K241" s="8">
        <f>IF($A241="","",IFERROR(MINIFS(Pagos!$C:$C,Pagos!$A:$A,$A241,Pagos!$F:$F,"Programado"),""))</f>
        <v/>
      </c>
      <c r="L241" s="9">
        <f>IF($A241="","",IF($K241="","",$K241-TODAY()))</f>
        <v/>
      </c>
      <c r="M241" s="9">
        <f>IF($A241="","",IF($H241&lt;=0,"Liquidada",IF(AND($K241&lt;&gt;"",$K241&lt;TODAY()),"Vencida",IF($G241&gt;0,"Parcial","Pendiente"))))</f>
        <v/>
      </c>
      <c r="N241" s="3" t="n"/>
      <c r="O241" s="3" t="n"/>
    </row>
    <row r="242">
      <c r="A242" s="3" t="n"/>
      <c r="B242" s="4" t="n"/>
      <c r="C242" s="3" t="n"/>
      <c r="D242" s="3" t="n"/>
      <c r="E242" s="3" t="n"/>
      <c r="F242" s="5" t="n"/>
      <c r="G242" s="6">
        <f>IF($A242="","",SUMIFS(Pagos!$D:$D,Pagos!$A:$A,$A242,Pagos!$F:$F,"Pagado"))</f>
        <v/>
      </c>
      <c r="H242" s="6">
        <f>IF($A242="","",$F242-$G242)</f>
        <v/>
      </c>
      <c r="I242" s="7">
        <f>IF($A242="","",IF($F242=0,0,$G242/$F242))</f>
        <v/>
      </c>
      <c r="J242" s="8">
        <f>IF($A242="","",IFERROR(MAXIFS(Pagos!$C:$C,Pagos!$A:$A,$A242,Pagos!$F:$F,"Pagado"),""))</f>
        <v/>
      </c>
      <c r="K242" s="8">
        <f>IF($A242="","",IFERROR(MINIFS(Pagos!$C:$C,Pagos!$A:$A,$A242,Pagos!$F:$F,"Programado"),""))</f>
        <v/>
      </c>
      <c r="L242" s="9">
        <f>IF($A242="","",IF($K242="","",$K242-TODAY()))</f>
        <v/>
      </c>
      <c r="M242" s="9">
        <f>IF($A242="","",IF($H242&lt;=0,"Liquidada",IF(AND($K242&lt;&gt;"",$K242&lt;TODAY()),"Vencida",IF($G242&gt;0,"Parcial","Pendiente"))))</f>
        <v/>
      </c>
      <c r="N242" s="3" t="n"/>
      <c r="O242" s="3" t="n"/>
    </row>
    <row r="243">
      <c r="A243" s="3" t="n"/>
      <c r="B243" s="4" t="n"/>
      <c r="C243" s="3" t="n"/>
      <c r="D243" s="3" t="n"/>
      <c r="E243" s="3" t="n"/>
      <c r="F243" s="5" t="n"/>
      <c r="G243" s="6">
        <f>IF($A243="","",SUMIFS(Pagos!$D:$D,Pagos!$A:$A,$A243,Pagos!$F:$F,"Pagado"))</f>
        <v/>
      </c>
      <c r="H243" s="6">
        <f>IF($A243="","",$F243-$G243)</f>
        <v/>
      </c>
      <c r="I243" s="7">
        <f>IF($A243="","",IF($F243=0,0,$G243/$F243))</f>
        <v/>
      </c>
      <c r="J243" s="8">
        <f>IF($A243="","",IFERROR(MAXIFS(Pagos!$C:$C,Pagos!$A:$A,$A243,Pagos!$F:$F,"Pagado"),""))</f>
        <v/>
      </c>
      <c r="K243" s="8">
        <f>IF($A243="","",IFERROR(MINIFS(Pagos!$C:$C,Pagos!$A:$A,$A243,Pagos!$F:$F,"Programado"),""))</f>
        <v/>
      </c>
      <c r="L243" s="9">
        <f>IF($A243="","",IF($K243="","",$K243-TODAY()))</f>
        <v/>
      </c>
      <c r="M243" s="9">
        <f>IF($A243="","",IF($H243&lt;=0,"Liquidada",IF(AND($K243&lt;&gt;"",$K243&lt;TODAY()),"Vencida",IF($G243&gt;0,"Parcial","Pendiente"))))</f>
        <v/>
      </c>
      <c r="N243" s="3" t="n"/>
      <c r="O243" s="3" t="n"/>
    </row>
    <row r="244">
      <c r="A244" s="3" t="n"/>
      <c r="B244" s="4" t="n"/>
      <c r="C244" s="3" t="n"/>
      <c r="D244" s="3" t="n"/>
      <c r="E244" s="3" t="n"/>
      <c r="F244" s="5" t="n"/>
      <c r="G244" s="6">
        <f>IF($A244="","",SUMIFS(Pagos!$D:$D,Pagos!$A:$A,$A244,Pagos!$F:$F,"Pagado"))</f>
        <v/>
      </c>
      <c r="H244" s="6">
        <f>IF($A244="","",$F244-$G244)</f>
        <v/>
      </c>
      <c r="I244" s="7">
        <f>IF($A244="","",IF($F244=0,0,$G244/$F244))</f>
        <v/>
      </c>
      <c r="J244" s="8">
        <f>IF($A244="","",IFERROR(MAXIFS(Pagos!$C:$C,Pagos!$A:$A,$A244,Pagos!$F:$F,"Pagado"),""))</f>
        <v/>
      </c>
      <c r="K244" s="8">
        <f>IF($A244="","",IFERROR(MINIFS(Pagos!$C:$C,Pagos!$A:$A,$A244,Pagos!$F:$F,"Programado"),""))</f>
        <v/>
      </c>
      <c r="L244" s="9">
        <f>IF($A244="","",IF($K244="","",$K244-TODAY()))</f>
        <v/>
      </c>
      <c r="M244" s="9">
        <f>IF($A244="","",IF($H244&lt;=0,"Liquidada",IF(AND($K244&lt;&gt;"",$K244&lt;TODAY()),"Vencida",IF($G244&gt;0,"Parcial","Pendiente"))))</f>
        <v/>
      </c>
      <c r="N244" s="3" t="n"/>
      <c r="O244" s="3" t="n"/>
    </row>
    <row r="245">
      <c r="A245" s="3" t="n"/>
      <c r="B245" s="4" t="n"/>
      <c r="C245" s="3" t="n"/>
      <c r="D245" s="3" t="n"/>
      <c r="E245" s="3" t="n"/>
      <c r="F245" s="5" t="n"/>
      <c r="G245" s="6">
        <f>IF($A245="","",SUMIFS(Pagos!$D:$D,Pagos!$A:$A,$A245,Pagos!$F:$F,"Pagado"))</f>
        <v/>
      </c>
      <c r="H245" s="6">
        <f>IF($A245="","",$F245-$G245)</f>
        <v/>
      </c>
      <c r="I245" s="7">
        <f>IF($A245="","",IF($F245=0,0,$G245/$F245))</f>
        <v/>
      </c>
      <c r="J245" s="8">
        <f>IF($A245="","",IFERROR(MAXIFS(Pagos!$C:$C,Pagos!$A:$A,$A245,Pagos!$F:$F,"Pagado"),""))</f>
        <v/>
      </c>
      <c r="K245" s="8">
        <f>IF($A245="","",IFERROR(MINIFS(Pagos!$C:$C,Pagos!$A:$A,$A245,Pagos!$F:$F,"Programado"),""))</f>
        <v/>
      </c>
      <c r="L245" s="9">
        <f>IF($A245="","",IF($K245="","",$K245-TODAY()))</f>
        <v/>
      </c>
      <c r="M245" s="9">
        <f>IF($A245="","",IF($H245&lt;=0,"Liquidada",IF(AND($K245&lt;&gt;"",$K245&lt;TODAY()),"Vencida",IF($G245&gt;0,"Parcial","Pendiente"))))</f>
        <v/>
      </c>
      <c r="N245" s="3" t="n"/>
      <c r="O245" s="3" t="n"/>
    </row>
    <row r="246">
      <c r="A246" s="3" t="n"/>
      <c r="B246" s="4" t="n"/>
      <c r="C246" s="3" t="n"/>
      <c r="D246" s="3" t="n"/>
      <c r="E246" s="3" t="n"/>
      <c r="F246" s="5" t="n"/>
      <c r="G246" s="6">
        <f>IF($A246="","",SUMIFS(Pagos!$D:$D,Pagos!$A:$A,$A246,Pagos!$F:$F,"Pagado"))</f>
        <v/>
      </c>
      <c r="H246" s="6">
        <f>IF($A246="","",$F246-$G246)</f>
        <v/>
      </c>
      <c r="I246" s="7">
        <f>IF($A246="","",IF($F246=0,0,$G246/$F246))</f>
        <v/>
      </c>
      <c r="J246" s="8">
        <f>IF($A246="","",IFERROR(MAXIFS(Pagos!$C:$C,Pagos!$A:$A,$A246,Pagos!$F:$F,"Pagado"),""))</f>
        <v/>
      </c>
      <c r="K246" s="8">
        <f>IF($A246="","",IFERROR(MINIFS(Pagos!$C:$C,Pagos!$A:$A,$A246,Pagos!$F:$F,"Programado"),""))</f>
        <v/>
      </c>
      <c r="L246" s="9">
        <f>IF($A246="","",IF($K246="","",$K246-TODAY()))</f>
        <v/>
      </c>
      <c r="M246" s="9">
        <f>IF($A246="","",IF($H246&lt;=0,"Liquidada",IF(AND($K246&lt;&gt;"",$K246&lt;TODAY()),"Vencida",IF($G246&gt;0,"Parcial","Pendiente"))))</f>
        <v/>
      </c>
      <c r="N246" s="3" t="n"/>
      <c r="O246" s="3" t="n"/>
    </row>
    <row r="247">
      <c r="A247" s="3" t="n"/>
      <c r="B247" s="4" t="n"/>
      <c r="C247" s="3" t="n"/>
      <c r="D247" s="3" t="n"/>
      <c r="E247" s="3" t="n"/>
      <c r="F247" s="5" t="n"/>
      <c r="G247" s="6">
        <f>IF($A247="","",SUMIFS(Pagos!$D:$D,Pagos!$A:$A,$A247,Pagos!$F:$F,"Pagado"))</f>
        <v/>
      </c>
      <c r="H247" s="6">
        <f>IF($A247="","",$F247-$G247)</f>
        <v/>
      </c>
      <c r="I247" s="7">
        <f>IF($A247="","",IF($F247=0,0,$G247/$F247))</f>
        <v/>
      </c>
      <c r="J247" s="8">
        <f>IF($A247="","",IFERROR(MAXIFS(Pagos!$C:$C,Pagos!$A:$A,$A247,Pagos!$F:$F,"Pagado"),""))</f>
        <v/>
      </c>
      <c r="K247" s="8">
        <f>IF($A247="","",IFERROR(MINIFS(Pagos!$C:$C,Pagos!$A:$A,$A247,Pagos!$F:$F,"Programado"),""))</f>
        <v/>
      </c>
      <c r="L247" s="9">
        <f>IF($A247="","",IF($K247="","",$K247-TODAY()))</f>
        <v/>
      </c>
      <c r="M247" s="9">
        <f>IF($A247="","",IF($H247&lt;=0,"Liquidada",IF(AND($K247&lt;&gt;"",$K247&lt;TODAY()),"Vencida",IF($G247&gt;0,"Parcial","Pendiente"))))</f>
        <v/>
      </c>
      <c r="N247" s="3" t="n"/>
      <c r="O247" s="3" t="n"/>
    </row>
    <row r="248">
      <c r="A248" s="3" t="n"/>
      <c r="B248" s="4" t="n"/>
      <c r="C248" s="3" t="n"/>
      <c r="D248" s="3" t="n"/>
      <c r="E248" s="3" t="n"/>
      <c r="F248" s="5" t="n"/>
      <c r="G248" s="6">
        <f>IF($A248="","",SUMIFS(Pagos!$D:$D,Pagos!$A:$A,$A248,Pagos!$F:$F,"Pagado"))</f>
        <v/>
      </c>
      <c r="H248" s="6">
        <f>IF($A248="","",$F248-$G248)</f>
        <v/>
      </c>
      <c r="I248" s="7">
        <f>IF($A248="","",IF($F248=0,0,$G248/$F248))</f>
        <v/>
      </c>
      <c r="J248" s="8">
        <f>IF($A248="","",IFERROR(MAXIFS(Pagos!$C:$C,Pagos!$A:$A,$A248,Pagos!$F:$F,"Pagado"),""))</f>
        <v/>
      </c>
      <c r="K248" s="8">
        <f>IF($A248="","",IFERROR(MINIFS(Pagos!$C:$C,Pagos!$A:$A,$A248,Pagos!$F:$F,"Programado"),""))</f>
        <v/>
      </c>
      <c r="L248" s="9">
        <f>IF($A248="","",IF($K248="","",$K248-TODAY()))</f>
        <v/>
      </c>
      <c r="M248" s="9">
        <f>IF($A248="","",IF($H248&lt;=0,"Liquidada",IF(AND($K248&lt;&gt;"",$K248&lt;TODAY()),"Vencida",IF($G248&gt;0,"Parcial","Pendiente"))))</f>
        <v/>
      </c>
      <c r="N248" s="3" t="n"/>
      <c r="O248" s="3" t="n"/>
    </row>
    <row r="249">
      <c r="A249" s="3" t="n"/>
      <c r="B249" s="4" t="n"/>
      <c r="C249" s="3" t="n"/>
      <c r="D249" s="3" t="n"/>
      <c r="E249" s="3" t="n"/>
      <c r="F249" s="5" t="n"/>
      <c r="G249" s="6">
        <f>IF($A249="","",SUMIFS(Pagos!$D:$D,Pagos!$A:$A,$A249,Pagos!$F:$F,"Pagado"))</f>
        <v/>
      </c>
      <c r="H249" s="6">
        <f>IF($A249="","",$F249-$G249)</f>
        <v/>
      </c>
      <c r="I249" s="7">
        <f>IF($A249="","",IF($F249=0,0,$G249/$F249))</f>
        <v/>
      </c>
      <c r="J249" s="8">
        <f>IF($A249="","",IFERROR(MAXIFS(Pagos!$C:$C,Pagos!$A:$A,$A249,Pagos!$F:$F,"Pagado"),""))</f>
        <v/>
      </c>
      <c r="K249" s="8">
        <f>IF($A249="","",IFERROR(MINIFS(Pagos!$C:$C,Pagos!$A:$A,$A249,Pagos!$F:$F,"Programado"),""))</f>
        <v/>
      </c>
      <c r="L249" s="9">
        <f>IF($A249="","",IF($K249="","",$K249-TODAY()))</f>
        <v/>
      </c>
      <c r="M249" s="9">
        <f>IF($A249="","",IF($H249&lt;=0,"Liquidada",IF(AND($K249&lt;&gt;"",$K249&lt;TODAY()),"Vencida",IF($G249&gt;0,"Parcial","Pendiente"))))</f>
        <v/>
      </c>
      <c r="N249" s="3" t="n"/>
      <c r="O249" s="3" t="n"/>
    </row>
    <row r="250">
      <c r="A250" s="3" t="n"/>
      <c r="B250" s="4" t="n"/>
      <c r="C250" s="3" t="n"/>
      <c r="D250" s="3" t="n"/>
      <c r="E250" s="3" t="n"/>
      <c r="F250" s="5" t="n"/>
      <c r="G250" s="6">
        <f>IF($A250="","",SUMIFS(Pagos!$D:$D,Pagos!$A:$A,$A250,Pagos!$F:$F,"Pagado"))</f>
        <v/>
      </c>
      <c r="H250" s="6">
        <f>IF($A250="","",$F250-$G250)</f>
        <v/>
      </c>
      <c r="I250" s="7">
        <f>IF($A250="","",IF($F250=0,0,$G250/$F250))</f>
        <v/>
      </c>
      <c r="J250" s="8">
        <f>IF($A250="","",IFERROR(MAXIFS(Pagos!$C:$C,Pagos!$A:$A,$A250,Pagos!$F:$F,"Pagado"),""))</f>
        <v/>
      </c>
      <c r="K250" s="8">
        <f>IF($A250="","",IFERROR(MINIFS(Pagos!$C:$C,Pagos!$A:$A,$A250,Pagos!$F:$F,"Programado"),""))</f>
        <v/>
      </c>
      <c r="L250" s="9">
        <f>IF($A250="","",IF($K250="","",$K250-TODAY()))</f>
        <v/>
      </c>
      <c r="M250" s="9">
        <f>IF($A250="","",IF($H250&lt;=0,"Liquidada",IF(AND($K250&lt;&gt;"",$K250&lt;TODAY()),"Vencida",IF($G250&gt;0,"Parcial","Pendiente"))))</f>
        <v/>
      </c>
      <c r="N250" s="3" t="n"/>
      <c r="O250" s="3" t="n"/>
    </row>
    <row r="251">
      <c r="A251" s="3" t="n"/>
      <c r="B251" s="4" t="n"/>
      <c r="C251" s="3" t="n"/>
      <c r="D251" s="3" t="n"/>
      <c r="E251" s="3" t="n"/>
      <c r="F251" s="5" t="n"/>
      <c r="G251" s="6">
        <f>IF($A251="","",SUMIFS(Pagos!$D:$D,Pagos!$A:$A,$A251,Pagos!$F:$F,"Pagado"))</f>
        <v/>
      </c>
      <c r="H251" s="6">
        <f>IF($A251="","",$F251-$G251)</f>
        <v/>
      </c>
      <c r="I251" s="7">
        <f>IF($A251="","",IF($F251=0,0,$G251/$F251))</f>
        <v/>
      </c>
      <c r="J251" s="8">
        <f>IF($A251="","",IFERROR(MAXIFS(Pagos!$C:$C,Pagos!$A:$A,$A251,Pagos!$F:$F,"Pagado"),""))</f>
        <v/>
      </c>
      <c r="K251" s="8">
        <f>IF($A251="","",IFERROR(MINIFS(Pagos!$C:$C,Pagos!$A:$A,$A251,Pagos!$F:$F,"Programado"),""))</f>
        <v/>
      </c>
      <c r="L251" s="9">
        <f>IF($A251="","",IF($K251="","",$K251-TODAY()))</f>
        <v/>
      </c>
      <c r="M251" s="9">
        <f>IF($A251="","",IF($H251&lt;=0,"Liquidada",IF(AND($K251&lt;&gt;"",$K251&lt;TODAY()),"Vencida",IF($G251&gt;0,"Parcial","Pendiente"))))</f>
        <v/>
      </c>
      <c r="N251" s="3" t="n"/>
      <c r="O251" s="3" t="n"/>
    </row>
    <row r="252">
      <c r="A252" s="3" t="n"/>
      <c r="B252" s="4" t="n"/>
      <c r="C252" s="3" t="n"/>
      <c r="D252" s="3" t="n"/>
      <c r="E252" s="3" t="n"/>
      <c r="F252" s="5" t="n"/>
      <c r="G252" s="6">
        <f>IF($A252="","",SUMIFS(Pagos!$D:$D,Pagos!$A:$A,$A252,Pagos!$F:$F,"Pagado"))</f>
        <v/>
      </c>
      <c r="H252" s="6">
        <f>IF($A252="","",$F252-$G252)</f>
        <v/>
      </c>
      <c r="I252" s="7">
        <f>IF($A252="","",IF($F252=0,0,$G252/$F252))</f>
        <v/>
      </c>
      <c r="J252" s="8">
        <f>IF($A252="","",IFERROR(MAXIFS(Pagos!$C:$C,Pagos!$A:$A,$A252,Pagos!$F:$F,"Pagado"),""))</f>
        <v/>
      </c>
      <c r="K252" s="8">
        <f>IF($A252="","",IFERROR(MINIFS(Pagos!$C:$C,Pagos!$A:$A,$A252,Pagos!$F:$F,"Programado"),""))</f>
        <v/>
      </c>
      <c r="L252" s="9">
        <f>IF($A252="","",IF($K252="","",$K252-TODAY()))</f>
        <v/>
      </c>
      <c r="M252" s="9">
        <f>IF($A252="","",IF($H252&lt;=0,"Liquidada",IF(AND($K252&lt;&gt;"",$K252&lt;TODAY()),"Vencida",IF($G252&gt;0,"Parcial","Pendiente"))))</f>
        <v/>
      </c>
      <c r="N252" s="3" t="n"/>
      <c r="O252" s="3" t="n"/>
    </row>
    <row r="253">
      <c r="A253" s="3" t="n"/>
      <c r="B253" s="4" t="n"/>
      <c r="C253" s="3" t="n"/>
      <c r="D253" s="3" t="n"/>
      <c r="E253" s="3" t="n"/>
      <c r="F253" s="5" t="n"/>
      <c r="G253" s="6">
        <f>IF($A253="","",SUMIFS(Pagos!$D:$D,Pagos!$A:$A,$A253,Pagos!$F:$F,"Pagado"))</f>
        <v/>
      </c>
      <c r="H253" s="6">
        <f>IF($A253="","",$F253-$G253)</f>
        <v/>
      </c>
      <c r="I253" s="7">
        <f>IF($A253="","",IF($F253=0,0,$G253/$F253))</f>
        <v/>
      </c>
      <c r="J253" s="8">
        <f>IF($A253="","",IFERROR(MAXIFS(Pagos!$C:$C,Pagos!$A:$A,$A253,Pagos!$F:$F,"Pagado"),""))</f>
        <v/>
      </c>
      <c r="K253" s="8">
        <f>IF($A253="","",IFERROR(MINIFS(Pagos!$C:$C,Pagos!$A:$A,$A253,Pagos!$F:$F,"Programado"),""))</f>
        <v/>
      </c>
      <c r="L253" s="9">
        <f>IF($A253="","",IF($K253="","",$K253-TODAY()))</f>
        <v/>
      </c>
      <c r="M253" s="9">
        <f>IF($A253="","",IF($H253&lt;=0,"Liquidada",IF(AND($K253&lt;&gt;"",$K253&lt;TODAY()),"Vencida",IF($G253&gt;0,"Parcial","Pendiente"))))</f>
        <v/>
      </c>
      <c r="N253" s="3" t="n"/>
      <c r="O253" s="3" t="n"/>
    </row>
    <row r="254">
      <c r="A254" s="3" t="n"/>
      <c r="B254" s="4" t="n"/>
      <c r="C254" s="3" t="n"/>
      <c r="D254" s="3" t="n"/>
      <c r="E254" s="3" t="n"/>
      <c r="F254" s="5" t="n"/>
      <c r="G254" s="6">
        <f>IF($A254="","",SUMIFS(Pagos!$D:$D,Pagos!$A:$A,$A254,Pagos!$F:$F,"Pagado"))</f>
        <v/>
      </c>
      <c r="H254" s="6">
        <f>IF($A254="","",$F254-$G254)</f>
        <v/>
      </c>
      <c r="I254" s="7">
        <f>IF($A254="","",IF($F254=0,0,$G254/$F254))</f>
        <v/>
      </c>
      <c r="J254" s="8">
        <f>IF($A254="","",IFERROR(MAXIFS(Pagos!$C:$C,Pagos!$A:$A,$A254,Pagos!$F:$F,"Pagado"),""))</f>
        <v/>
      </c>
      <c r="K254" s="8">
        <f>IF($A254="","",IFERROR(MINIFS(Pagos!$C:$C,Pagos!$A:$A,$A254,Pagos!$F:$F,"Programado"),""))</f>
        <v/>
      </c>
      <c r="L254" s="9">
        <f>IF($A254="","",IF($K254="","",$K254-TODAY()))</f>
        <v/>
      </c>
      <c r="M254" s="9">
        <f>IF($A254="","",IF($H254&lt;=0,"Liquidada",IF(AND($K254&lt;&gt;"",$K254&lt;TODAY()),"Vencida",IF($G254&gt;0,"Parcial","Pendiente"))))</f>
        <v/>
      </c>
      <c r="N254" s="3" t="n"/>
      <c r="O254" s="3" t="n"/>
    </row>
    <row r="255">
      <c r="A255" s="3" t="n"/>
      <c r="B255" s="4" t="n"/>
      <c r="C255" s="3" t="n"/>
      <c r="D255" s="3" t="n"/>
      <c r="E255" s="3" t="n"/>
      <c r="F255" s="5" t="n"/>
      <c r="G255" s="6">
        <f>IF($A255="","",SUMIFS(Pagos!$D:$D,Pagos!$A:$A,$A255,Pagos!$F:$F,"Pagado"))</f>
        <v/>
      </c>
      <c r="H255" s="6">
        <f>IF($A255="","",$F255-$G255)</f>
        <v/>
      </c>
      <c r="I255" s="7">
        <f>IF($A255="","",IF($F255=0,0,$G255/$F255))</f>
        <v/>
      </c>
      <c r="J255" s="8">
        <f>IF($A255="","",IFERROR(MAXIFS(Pagos!$C:$C,Pagos!$A:$A,$A255,Pagos!$F:$F,"Pagado"),""))</f>
        <v/>
      </c>
      <c r="K255" s="8">
        <f>IF($A255="","",IFERROR(MINIFS(Pagos!$C:$C,Pagos!$A:$A,$A255,Pagos!$F:$F,"Programado"),""))</f>
        <v/>
      </c>
      <c r="L255" s="9">
        <f>IF($A255="","",IF($K255="","",$K255-TODAY()))</f>
        <v/>
      </c>
      <c r="M255" s="9">
        <f>IF($A255="","",IF($H255&lt;=0,"Liquidada",IF(AND($K255&lt;&gt;"",$K255&lt;TODAY()),"Vencida",IF($G255&gt;0,"Parcial","Pendiente"))))</f>
        <v/>
      </c>
      <c r="N255" s="3" t="n"/>
      <c r="O255" s="3" t="n"/>
    </row>
    <row r="256">
      <c r="A256" s="3" t="n"/>
      <c r="B256" s="4" t="n"/>
      <c r="C256" s="3" t="n"/>
      <c r="D256" s="3" t="n"/>
      <c r="E256" s="3" t="n"/>
      <c r="F256" s="5" t="n"/>
      <c r="G256" s="6">
        <f>IF($A256="","",SUMIFS(Pagos!$D:$D,Pagos!$A:$A,$A256,Pagos!$F:$F,"Pagado"))</f>
        <v/>
      </c>
      <c r="H256" s="6">
        <f>IF($A256="","",$F256-$G256)</f>
        <v/>
      </c>
      <c r="I256" s="7">
        <f>IF($A256="","",IF($F256=0,0,$G256/$F256))</f>
        <v/>
      </c>
      <c r="J256" s="8">
        <f>IF($A256="","",IFERROR(MAXIFS(Pagos!$C:$C,Pagos!$A:$A,$A256,Pagos!$F:$F,"Pagado"),""))</f>
        <v/>
      </c>
      <c r="K256" s="8">
        <f>IF($A256="","",IFERROR(MINIFS(Pagos!$C:$C,Pagos!$A:$A,$A256,Pagos!$F:$F,"Programado"),""))</f>
        <v/>
      </c>
      <c r="L256" s="9">
        <f>IF($A256="","",IF($K256="","",$K256-TODAY()))</f>
        <v/>
      </c>
      <c r="M256" s="9">
        <f>IF($A256="","",IF($H256&lt;=0,"Liquidada",IF(AND($K256&lt;&gt;"",$K256&lt;TODAY()),"Vencida",IF($G256&gt;0,"Parcial","Pendiente"))))</f>
        <v/>
      </c>
      <c r="N256" s="3" t="n"/>
      <c r="O256" s="3" t="n"/>
    </row>
    <row r="257">
      <c r="A257" s="3" t="n"/>
      <c r="B257" s="4" t="n"/>
      <c r="C257" s="3" t="n"/>
      <c r="D257" s="3" t="n"/>
      <c r="E257" s="3" t="n"/>
      <c r="F257" s="5" t="n"/>
      <c r="G257" s="6">
        <f>IF($A257="","",SUMIFS(Pagos!$D:$D,Pagos!$A:$A,$A257,Pagos!$F:$F,"Pagado"))</f>
        <v/>
      </c>
      <c r="H257" s="6">
        <f>IF($A257="","",$F257-$G257)</f>
        <v/>
      </c>
      <c r="I257" s="7">
        <f>IF($A257="","",IF($F257=0,0,$G257/$F257))</f>
        <v/>
      </c>
      <c r="J257" s="8">
        <f>IF($A257="","",IFERROR(MAXIFS(Pagos!$C:$C,Pagos!$A:$A,$A257,Pagos!$F:$F,"Pagado"),""))</f>
        <v/>
      </c>
      <c r="K257" s="8">
        <f>IF($A257="","",IFERROR(MINIFS(Pagos!$C:$C,Pagos!$A:$A,$A257,Pagos!$F:$F,"Programado"),""))</f>
        <v/>
      </c>
      <c r="L257" s="9">
        <f>IF($A257="","",IF($K257="","",$K257-TODAY()))</f>
        <v/>
      </c>
      <c r="M257" s="9">
        <f>IF($A257="","",IF($H257&lt;=0,"Liquidada",IF(AND($K257&lt;&gt;"",$K257&lt;TODAY()),"Vencida",IF($G257&gt;0,"Parcial","Pendiente"))))</f>
        <v/>
      </c>
      <c r="N257" s="3" t="n"/>
      <c r="O257" s="3" t="n"/>
    </row>
    <row r="258">
      <c r="A258" s="3" t="n"/>
      <c r="B258" s="4" t="n"/>
      <c r="C258" s="3" t="n"/>
      <c r="D258" s="3" t="n"/>
      <c r="E258" s="3" t="n"/>
      <c r="F258" s="5" t="n"/>
      <c r="G258" s="6">
        <f>IF($A258="","",SUMIFS(Pagos!$D:$D,Pagos!$A:$A,$A258,Pagos!$F:$F,"Pagado"))</f>
        <v/>
      </c>
      <c r="H258" s="6">
        <f>IF($A258="","",$F258-$G258)</f>
        <v/>
      </c>
      <c r="I258" s="7">
        <f>IF($A258="","",IF($F258=0,0,$G258/$F258))</f>
        <v/>
      </c>
      <c r="J258" s="8">
        <f>IF($A258="","",IFERROR(MAXIFS(Pagos!$C:$C,Pagos!$A:$A,$A258,Pagos!$F:$F,"Pagado"),""))</f>
        <v/>
      </c>
      <c r="K258" s="8">
        <f>IF($A258="","",IFERROR(MINIFS(Pagos!$C:$C,Pagos!$A:$A,$A258,Pagos!$F:$F,"Programado"),""))</f>
        <v/>
      </c>
      <c r="L258" s="9">
        <f>IF($A258="","",IF($K258="","",$K258-TODAY()))</f>
        <v/>
      </c>
      <c r="M258" s="9">
        <f>IF($A258="","",IF($H258&lt;=0,"Liquidada",IF(AND($K258&lt;&gt;"",$K258&lt;TODAY()),"Vencida",IF($G258&gt;0,"Parcial","Pendiente"))))</f>
        <v/>
      </c>
      <c r="N258" s="3" t="n"/>
      <c r="O258" s="3" t="n"/>
    </row>
    <row r="259">
      <c r="A259" s="3" t="n"/>
      <c r="B259" s="4" t="n"/>
      <c r="C259" s="3" t="n"/>
      <c r="D259" s="3" t="n"/>
      <c r="E259" s="3" t="n"/>
      <c r="F259" s="5" t="n"/>
      <c r="G259" s="6">
        <f>IF($A259="","",SUMIFS(Pagos!$D:$D,Pagos!$A:$A,$A259,Pagos!$F:$F,"Pagado"))</f>
        <v/>
      </c>
      <c r="H259" s="6">
        <f>IF($A259="","",$F259-$G259)</f>
        <v/>
      </c>
      <c r="I259" s="7">
        <f>IF($A259="","",IF($F259=0,0,$G259/$F259))</f>
        <v/>
      </c>
      <c r="J259" s="8">
        <f>IF($A259="","",IFERROR(MAXIFS(Pagos!$C:$C,Pagos!$A:$A,$A259,Pagos!$F:$F,"Pagado"),""))</f>
        <v/>
      </c>
      <c r="K259" s="8">
        <f>IF($A259="","",IFERROR(MINIFS(Pagos!$C:$C,Pagos!$A:$A,$A259,Pagos!$F:$F,"Programado"),""))</f>
        <v/>
      </c>
      <c r="L259" s="9">
        <f>IF($A259="","",IF($K259="","",$K259-TODAY()))</f>
        <v/>
      </c>
      <c r="M259" s="9">
        <f>IF($A259="","",IF($H259&lt;=0,"Liquidada",IF(AND($K259&lt;&gt;"",$K259&lt;TODAY()),"Vencida",IF($G259&gt;0,"Parcial","Pendiente"))))</f>
        <v/>
      </c>
      <c r="N259" s="3" t="n"/>
      <c r="O259" s="3" t="n"/>
    </row>
    <row r="260">
      <c r="A260" s="3" t="n"/>
      <c r="B260" s="4" t="n"/>
      <c r="C260" s="3" t="n"/>
      <c r="D260" s="3" t="n"/>
      <c r="E260" s="3" t="n"/>
      <c r="F260" s="5" t="n"/>
      <c r="G260" s="6">
        <f>IF($A260="","",SUMIFS(Pagos!$D:$D,Pagos!$A:$A,$A260,Pagos!$F:$F,"Pagado"))</f>
        <v/>
      </c>
      <c r="H260" s="6">
        <f>IF($A260="","",$F260-$G260)</f>
        <v/>
      </c>
      <c r="I260" s="7">
        <f>IF($A260="","",IF($F260=0,0,$G260/$F260))</f>
        <v/>
      </c>
      <c r="J260" s="8">
        <f>IF($A260="","",IFERROR(MAXIFS(Pagos!$C:$C,Pagos!$A:$A,$A260,Pagos!$F:$F,"Pagado"),""))</f>
        <v/>
      </c>
      <c r="K260" s="8">
        <f>IF($A260="","",IFERROR(MINIFS(Pagos!$C:$C,Pagos!$A:$A,$A260,Pagos!$F:$F,"Programado"),""))</f>
        <v/>
      </c>
      <c r="L260" s="9">
        <f>IF($A260="","",IF($K260="","",$K260-TODAY()))</f>
        <v/>
      </c>
      <c r="M260" s="9">
        <f>IF($A260="","",IF($H260&lt;=0,"Liquidada",IF(AND($K260&lt;&gt;"",$K260&lt;TODAY()),"Vencida",IF($G260&gt;0,"Parcial","Pendiente"))))</f>
        <v/>
      </c>
      <c r="N260" s="3" t="n"/>
      <c r="O260" s="3" t="n"/>
    </row>
    <row r="261">
      <c r="A261" s="3" t="n"/>
      <c r="B261" s="4" t="n"/>
      <c r="C261" s="3" t="n"/>
      <c r="D261" s="3" t="n"/>
      <c r="E261" s="3" t="n"/>
      <c r="F261" s="5" t="n"/>
      <c r="G261" s="6">
        <f>IF($A261="","",SUMIFS(Pagos!$D:$D,Pagos!$A:$A,$A261,Pagos!$F:$F,"Pagado"))</f>
        <v/>
      </c>
      <c r="H261" s="6">
        <f>IF($A261="","",$F261-$G261)</f>
        <v/>
      </c>
      <c r="I261" s="7">
        <f>IF($A261="","",IF($F261=0,0,$G261/$F261))</f>
        <v/>
      </c>
      <c r="J261" s="8">
        <f>IF($A261="","",IFERROR(MAXIFS(Pagos!$C:$C,Pagos!$A:$A,$A261,Pagos!$F:$F,"Pagado"),""))</f>
        <v/>
      </c>
      <c r="K261" s="8">
        <f>IF($A261="","",IFERROR(MINIFS(Pagos!$C:$C,Pagos!$A:$A,$A261,Pagos!$F:$F,"Programado"),""))</f>
        <v/>
      </c>
      <c r="L261" s="9">
        <f>IF($A261="","",IF($K261="","",$K261-TODAY()))</f>
        <v/>
      </c>
      <c r="M261" s="9">
        <f>IF($A261="","",IF($H261&lt;=0,"Liquidada",IF(AND($K261&lt;&gt;"",$K261&lt;TODAY()),"Vencida",IF($G261&gt;0,"Parcial","Pendiente"))))</f>
        <v/>
      </c>
      <c r="N261" s="3" t="n"/>
      <c r="O261" s="3" t="n"/>
    </row>
    <row r="262">
      <c r="A262" s="3" t="n"/>
      <c r="B262" s="4" t="n"/>
      <c r="C262" s="3" t="n"/>
      <c r="D262" s="3" t="n"/>
      <c r="E262" s="3" t="n"/>
      <c r="F262" s="5" t="n"/>
      <c r="G262" s="6">
        <f>IF($A262="","",SUMIFS(Pagos!$D:$D,Pagos!$A:$A,$A262,Pagos!$F:$F,"Pagado"))</f>
        <v/>
      </c>
      <c r="H262" s="6">
        <f>IF($A262="","",$F262-$G262)</f>
        <v/>
      </c>
      <c r="I262" s="7">
        <f>IF($A262="","",IF($F262=0,0,$G262/$F262))</f>
        <v/>
      </c>
      <c r="J262" s="8">
        <f>IF($A262="","",IFERROR(MAXIFS(Pagos!$C:$C,Pagos!$A:$A,$A262,Pagos!$F:$F,"Pagado"),""))</f>
        <v/>
      </c>
      <c r="K262" s="8">
        <f>IF($A262="","",IFERROR(MINIFS(Pagos!$C:$C,Pagos!$A:$A,$A262,Pagos!$F:$F,"Programado"),""))</f>
        <v/>
      </c>
      <c r="L262" s="9">
        <f>IF($A262="","",IF($K262="","",$K262-TODAY()))</f>
        <v/>
      </c>
      <c r="M262" s="9">
        <f>IF($A262="","",IF($H262&lt;=0,"Liquidada",IF(AND($K262&lt;&gt;"",$K262&lt;TODAY()),"Vencida",IF($G262&gt;0,"Parcial","Pendiente"))))</f>
        <v/>
      </c>
      <c r="N262" s="3" t="n"/>
      <c r="O262" s="3" t="n"/>
    </row>
    <row r="263">
      <c r="A263" s="3" t="n"/>
      <c r="B263" s="4" t="n"/>
      <c r="C263" s="3" t="n"/>
      <c r="D263" s="3" t="n"/>
      <c r="E263" s="3" t="n"/>
      <c r="F263" s="5" t="n"/>
      <c r="G263" s="6">
        <f>IF($A263="","",SUMIFS(Pagos!$D:$D,Pagos!$A:$A,$A263,Pagos!$F:$F,"Pagado"))</f>
        <v/>
      </c>
      <c r="H263" s="6">
        <f>IF($A263="","",$F263-$G263)</f>
        <v/>
      </c>
      <c r="I263" s="7">
        <f>IF($A263="","",IF($F263=0,0,$G263/$F263))</f>
        <v/>
      </c>
      <c r="J263" s="8">
        <f>IF($A263="","",IFERROR(MAXIFS(Pagos!$C:$C,Pagos!$A:$A,$A263,Pagos!$F:$F,"Pagado"),""))</f>
        <v/>
      </c>
      <c r="K263" s="8">
        <f>IF($A263="","",IFERROR(MINIFS(Pagos!$C:$C,Pagos!$A:$A,$A263,Pagos!$F:$F,"Programado"),""))</f>
        <v/>
      </c>
      <c r="L263" s="9">
        <f>IF($A263="","",IF($K263="","",$K263-TODAY()))</f>
        <v/>
      </c>
      <c r="M263" s="9">
        <f>IF($A263="","",IF($H263&lt;=0,"Liquidada",IF(AND($K263&lt;&gt;"",$K263&lt;TODAY()),"Vencida",IF($G263&gt;0,"Parcial","Pendiente"))))</f>
        <v/>
      </c>
      <c r="N263" s="3" t="n"/>
      <c r="O263" s="3" t="n"/>
    </row>
    <row r="264">
      <c r="A264" s="3" t="n"/>
      <c r="B264" s="4" t="n"/>
      <c r="C264" s="3" t="n"/>
      <c r="D264" s="3" t="n"/>
      <c r="E264" s="3" t="n"/>
      <c r="F264" s="5" t="n"/>
      <c r="G264" s="6">
        <f>IF($A264="","",SUMIFS(Pagos!$D:$D,Pagos!$A:$A,$A264,Pagos!$F:$F,"Pagado"))</f>
        <v/>
      </c>
      <c r="H264" s="6">
        <f>IF($A264="","",$F264-$G264)</f>
        <v/>
      </c>
      <c r="I264" s="7">
        <f>IF($A264="","",IF($F264=0,0,$G264/$F264))</f>
        <v/>
      </c>
      <c r="J264" s="8">
        <f>IF($A264="","",IFERROR(MAXIFS(Pagos!$C:$C,Pagos!$A:$A,$A264,Pagos!$F:$F,"Pagado"),""))</f>
        <v/>
      </c>
      <c r="K264" s="8">
        <f>IF($A264="","",IFERROR(MINIFS(Pagos!$C:$C,Pagos!$A:$A,$A264,Pagos!$F:$F,"Programado"),""))</f>
        <v/>
      </c>
      <c r="L264" s="9">
        <f>IF($A264="","",IF($K264="","",$K264-TODAY()))</f>
        <v/>
      </c>
      <c r="M264" s="9">
        <f>IF($A264="","",IF($H264&lt;=0,"Liquidada",IF(AND($K264&lt;&gt;"",$K264&lt;TODAY()),"Vencida",IF($G264&gt;0,"Parcial","Pendiente"))))</f>
        <v/>
      </c>
      <c r="N264" s="3" t="n"/>
      <c r="O264" s="3" t="n"/>
    </row>
    <row r="265">
      <c r="A265" s="3" t="n"/>
      <c r="B265" s="4" t="n"/>
      <c r="C265" s="3" t="n"/>
      <c r="D265" s="3" t="n"/>
      <c r="E265" s="3" t="n"/>
      <c r="F265" s="5" t="n"/>
      <c r="G265" s="6">
        <f>IF($A265="","",SUMIFS(Pagos!$D:$D,Pagos!$A:$A,$A265,Pagos!$F:$F,"Pagado"))</f>
        <v/>
      </c>
      <c r="H265" s="6">
        <f>IF($A265="","",$F265-$G265)</f>
        <v/>
      </c>
      <c r="I265" s="7">
        <f>IF($A265="","",IF($F265=0,0,$G265/$F265))</f>
        <v/>
      </c>
      <c r="J265" s="8">
        <f>IF($A265="","",IFERROR(MAXIFS(Pagos!$C:$C,Pagos!$A:$A,$A265,Pagos!$F:$F,"Pagado"),""))</f>
        <v/>
      </c>
      <c r="K265" s="8">
        <f>IF($A265="","",IFERROR(MINIFS(Pagos!$C:$C,Pagos!$A:$A,$A265,Pagos!$F:$F,"Programado"),""))</f>
        <v/>
      </c>
      <c r="L265" s="9">
        <f>IF($A265="","",IF($K265="","",$K265-TODAY()))</f>
        <v/>
      </c>
      <c r="M265" s="9">
        <f>IF($A265="","",IF($H265&lt;=0,"Liquidada",IF(AND($K265&lt;&gt;"",$K265&lt;TODAY()),"Vencida",IF($G265&gt;0,"Parcial","Pendiente"))))</f>
        <v/>
      </c>
      <c r="N265" s="3" t="n"/>
      <c r="O265" s="3" t="n"/>
    </row>
    <row r="266">
      <c r="A266" s="3" t="n"/>
      <c r="B266" s="4" t="n"/>
      <c r="C266" s="3" t="n"/>
      <c r="D266" s="3" t="n"/>
      <c r="E266" s="3" t="n"/>
      <c r="F266" s="5" t="n"/>
      <c r="G266" s="6">
        <f>IF($A266="","",SUMIFS(Pagos!$D:$D,Pagos!$A:$A,$A266,Pagos!$F:$F,"Pagado"))</f>
        <v/>
      </c>
      <c r="H266" s="6">
        <f>IF($A266="","",$F266-$G266)</f>
        <v/>
      </c>
      <c r="I266" s="7">
        <f>IF($A266="","",IF($F266=0,0,$G266/$F266))</f>
        <v/>
      </c>
      <c r="J266" s="8">
        <f>IF($A266="","",IFERROR(MAXIFS(Pagos!$C:$C,Pagos!$A:$A,$A266,Pagos!$F:$F,"Pagado"),""))</f>
        <v/>
      </c>
      <c r="K266" s="8">
        <f>IF($A266="","",IFERROR(MINIFS(Pagos!$C:$C,Pagos!$A:$A,$A266,Pagos!$F:$F,"Programado"),""))</f>
        <v/>
      </c>
      <c r="L266" s="9">
        <f>IF($A266="","",IF($K266="","",$K266-TODAY()))</f>
        <v/>
      </c>
      <c r="M266" s="9">
        <f>IF($A266="","",IF($H266&lt;=0,"Liquidada",IF(AND($K266&lt;&gt;"",$K266&lt;TODAY()),"Vencida",IF($G266&gt;0,"Parcial","Pendiente"))))</f>
        <v/>
      </c>
      <c r="N266" s="3" t="n"/>
      <c r="O266" s="3" t="n"/>
    </row>
    <row r="267">
      <c r="A267" s="3" t="n"/>
      <c r="B267" s="4" t="n"/>
      <c r="C267" s="3" t="n"/>
      <c r="D267" s="3" t="n"/>
      <c r="E267" s="3" t="n"/>
      <c r="F267" s="5" t="n"/>
      <c r="G267" s="6">
        <f>IF($A267="","",SUMIFS(Pagos!$D:$D,Pagos!$A:$A,$A267,Pagos!$F:$F,"Pagado"))</f>
        <v/>
      </c>
      <c r="H267" s="6">
        <f>IF($A267="","",$F267-$G267)</f>
        <v/>
      </c>
      <c r="I267" s="7">
        <f>IF($A267="","",IF($F267=0,0,$G267/$F267))</f>
        <v/>
      </c>
      <c r="J267" s="8">
        <f>IF($A267="","",IFERROR(MAXIFS(Pagos!$C:$C,Pagos!$A:$A,$A267,Pagos!$F:$F,"Pagado"),""))</f>
        <v/>
      </c>
      <c r="K267" s="8">
        <f>IF($A267="","",IFERROR(MINIFS(Pagos!$C:$C,Pagos!$A:$A,$A267,Pagos!$F:$F,"Programado"),""))</f>
        <v/>
      </c>
      <c r="L267" s="9">
        <f>IF($A267="","",IF($K267="","",$K267-TODAY()))</f>
        <v/>
      </c>
      <c r="M267" s="9">
        <f>IF($A267="","",IF($H267&lt;=0,"Liquidada",IF(AND($K267&lt;&gt;"",$K267&lt;TODAY()),"Vencida",IF($G267&gt;0,"Parcial","Pendiente"))))</f>
        <v/>
      </c>
      <c r="N267" s="3" t="n"/>
      <c r="O267" s="3" t="n"/>
    </row>
    <row r="268">
      <c r="A268" s="3" t="n"/>
      <c r="B268" s="4" t="n"/>
      <c r="C268" s="3" t="n"/>
      <c r="D268" s="3" t="n"/>
      <c r="E268" s="3" t="n"/>
      <c r="F268" s="5" t="n"/>
      <c r="G268" s="6">
        <f>IF($A268="","",SUMIFS(Pagos!$D:$D,Pagos!$A:$A,$A268,Pagos!$F:$F,"Pagado"))</f>
        <v/>
      </c>
      <c r="H268" s="6">
        <f>IF($A268="","",$F268-$G268)</f>
        <v/>
      </c>
      <c r="I268" s="7">
        <f>IF($A268="","",IF($F268=0,0,$G268/$F268))</f>
        <v/>
      </c>
      <c r="J268" s="8">
        <f>IF($A268="","",IFERROR(MAXIFS(Pagos!$C:$C,Pagos!$A:$A,$A268,Pagos!$F:$F,"Pagado"),""))</f>
        <v/>
      </c>
      <c r="K268" s="8">
        <f>IF($A268="","",IFERROR(MINIFS(Pagos!$C:$C,Pagos!$A:$A,$A268,Pagos!$F:$F,"Programado"),""))</f>
        <v/>
      </c>
      <c r="L268" s="9">
        <f>IF($A268="","",IF($K268="","",$K268-TODAY()))</f>
        <v/>
      </c>
      <c r="M268" s="9">
        <f>IF($A268="","",IF($H268&lt;=0,"Liquidada",IF(AND($K268&lt;&gt;"",$K268&lt;TODAY()),"Vencida",IF($G268&gt;0,"Parcial","Pendiente"))))</f>
        <v/>
      </c>
      <c r="N268" s="3" t="n"/>
      <c r="O268" s="3" t="n"/>
    </row>
    <row r="269">
      <c r="A269" s="3" t="n"/>
      <c r="B269" s="4" t="n"/>
      <c r="C269" s="3" t="n"/>
      <c r="D269" s="3" t="n"/>
      <c r="E269" s="3" t="n"/>
      <c r="F269" s="5" t="n"/>
      <c r="G269" s="6">
        <f>IF($A269="","",SUMIFS(Pagos!$D:$D,Pagos!$A:$A,$A269,Pagos!$F:$F,"Pagado"))</f>
        <v/>
      </c>
      <c r="H269" s="6">
        <f>IF($A269="","",$F269-$G269)</f>
        <v/>
      </c>
      <c r="I269" s="7">
        <f>IF($A269="","",IF($F269=0,0,$G269/$F269))</f>
        <v/>
      </c>
      <c r="J269" s="8">
        <f>IF($A269="","",IFERROR(MAXIFS(Pagos!$C:$C,Pagos!$A:$A,$A269,Pagos!$F:$F,"Pagado"),""))</f>
        <v/>
      </c>
      <c r="K269" s="8">
        <f>IF($A269="","",IFERROR(MINIFS(Pagos!$C:$C,Pagos!$A:$A,$A269,Pagos!$F:$F,"Programado"),""))</f>
        <v/>
      </c>
      <c r="L269" s="9">
        <f>IF($A269="","",IF($K269="","",$K269-TODAY()))</f>
        <v/>
      </c>
      <c r="M269" s="9">
        <f>IF($A269="","",IF($H269&lt;=0,"Liquidada",IF(AND($K269&lt;&gt;"",$K269&lt;TODAY()),"Vencida",IF($G269&gt;0,"Parcial","Pendiente"))))</f>
        <v/>
      </c>
      <c r="N269" s="3" t="n"/>
      <c r="O269" s="3" t="n"/>
    </row>
    <row r="270">
      <c r="A270" s="3" t="n"/>
      <c r="B270" s="4" t="n"/>
      <c r="C270" s="3" t="n"/>
      <c r="D270" s="3" t="n"/>
      <c r="E270" s="3" t="n"/>
      <c r="F270" s="5" t="n"/>
      <c r="G270" s="6">
        <f>IF($A270="","",SUMIFS(Pagos!$D:$D,Pagos!$A:$A,$A270,Pagos!$F:$F,"Pagado"))</f>
        <v/>
      </c>
      <c r="H270" s="6">
        <f>IF($A270="","",$F270-$G270)</f>
        <v/>
      </c>
      <c r="I270" s="7">
        <f>IF($A270="","",IF($F270=0,0,$G270/$F270))</f>
        <v/>
      </c>
      <c r="J270" s="8">
        <f>IF($A270="","",IFERROR(MAXIFS(Pagos!$C:$C,Pagos!$A:$A,$A270,Pagos!$F:$F,"Pagado"),""))</f>
        <v/>
      </c>
      <c r="K270" s="8">
        <f>IF($A270="","",IFERROR(MINIFS(Pagos!$C:$C,Pagos!$A:$A,$A270,Pagos!$F:$F,"Programado"),""))</f>
        <v/>
      </c>
      <c r="L270" s="9">
        <f>IF($A270="","",IF($K270="","",$K270-TODAY()))</f>
        <v/>
      </c>
      <c r="M270" s="9">
        <f>IF($A270="","",IF($H270&lt;=0,"Liquidada",IF(AND($K270&lt;&gt;"",$K270&lt;TODAY()),"Vencida",IF($G270&gt;0,"Parcial","Pendiente"))))</f>
        <v/>
      </c>
      <c r="N270" s="3" t="n"/>
      <c r="O270" s="3" t="n"/>
    </row>
    <row r="271">
      <c r="A271" s="3" t="n"/>
      <c r="B271" s="4" t="n"/>
      <c r="C271" s="3" t="n"/>
      <c r="D271" s="3" t="n"/>
      <c r="E271" s="3" t="n"/>
      <c r="F271" s="5" t="n"/>
      <c r="G271" s="6">
        <f>IF($A271="","",SUMIFS(Pagos!$D:$D,Pagos!$A:$A,$A271,Pagos!$F:$F,"Pagado"))</f>
        <v/>
      </c>
      <c r="H271" s="6">
        <f>IF($A271="","",$F271-$G271)</f>
        <v/>
      </c>
      <c r="I271" s="7">
        <f>IF($A271="","",IF($F271=0,0,$G271/$F271))</f>
        <v/>
      </c>
      <c r="J271" s="8">
        <f>IF($A271="","",IFERROR(MAXIFS(Pagos!$C:$C,Pagos!$A:$A,$A271,Pagos!$F:$F,"Pagado"),""))</f>
        <v/>
      </c>
      <c r="K271" s="8">
        <f>IF($A271="","",IFERROR(MINIFS(Pagos!$C:$C,Pagos!$A:$A,$A271,Pagos!$F:$F,"Programado"),""))</f>
        <v/>
      </c>
      <c r="L271" s="9">
        <f>IF($A271="","",IF($K271="","",$K271-TODAY()))</f>
        <v/>
      </c>
      <c r="M271" s="9">
        <f>IF($A271="","",IF($H271&lt;=0,"Liquidada",IF(AND($K271&lt;&gt;"",$K271&lt;TODAY()),"Vencida",IF($G271&gt;0,"Parcial","Pendiente"))))</f>
        <v/>
      </c>
      <c r="N271" s="3" t="n"/>
      <c r="O271" s="3" t="n"/>
    </row>
    <row r="272">
      <c r="A272" s="3" t="n"/>
      <c r="B272" s="4" t="n"/>
      <c r="C272" s="3" t="n"/>
      <c r="D272" s="3" t="n"/>
      <c r="E272" s="3" t="n"/>
      <c r="F272" s="5" t="n"/>
      <c r="G272" s="6">
        <f>IF($A272="","",SUMIFS(Pagos!$D:$D,Pagos!$A:$A,$A272,Pagos!$F:$F,"Pagado"))</f>
        <v/>
      </c>
      <c r="H272" s="6">
        <f>IF($A272="","",$F272-$G272)</f>
        <v/>
      </c>
      <c r="I272" s="7">
        <f>IF($A272="","",IF($F272=0,0,$G272/$F272))</f>
        <v/>
      </c>
      <c r="J272" s="8">
        <f>IF($A272="","",IFERROR(MAXIFS(Pagos!$C:$C,Pagos!$A:$A,$A272,Pagos!$F:$F,"Pagado"),""))</f>
        <v/>
      </c>
      <c r="K272" s="8">
        <f>IF($A272="","",IFERROR(MINIFS(Pagos!$C:$C,Pagos!$A:$A,$A272,Pagos!$F:$F,"Programado"),""))</f>
        <v/>
      </c>
      <c r="L272" s="9">
        <f>IF($A272="","",IF($K272="","",$K272-TODAY()))</f>
        <v/>
      </c>
      <c r="M272" s="9">
        <f>IF($A272="","",IF($H272&lt;=0,"Liquidada",IF(AND($K272&lt;&gt;"",$K272&lt;TODAY()),"Vencida",IF($G272&gt;0,"Parcial","Pendiente"))))</f>
        <v/>
      </c>
      <c r="N272" s="3" t="n"/>
      <c r="O272" s="3" t="n"/>
    </row>
    <row r="273">
      <c r="A273" s="3" t="n"/>
      <c r="B273" s="4" t="n"/>
      <c r="C273" s="3" t="n"/>
      <c r="D273" s="3" t="n"/>
      <c r="E273" s="3" t="n"/>
      <c r="F273" s="5" t="n"/>
      <c r="G273" s="6">
        <f>IF($A273="","",SUMIFS(Pagos!$D:$D,Pagos!$A:$A,$A273,Pagos!$F:$F,"Pagado"))</f>
        <v/>
      </c>
      <c r="H273" s="6">
        <f>IF($A273="","",$F273-$G273)</f>
        <v/>
      </c>
      <c r="I273" s="7">
        <f>IF($A273="","",IF($F273=0,0,$G273/$F273))</f>
        <v/>
      </c>
      <c r="J273" s="8">
        <f>IF($A273="","",IFERROR(MAXIFS(Pagos!$C:$C,Pagos!$A:$A,$A273,Pagos!$F:$F,"Pagado"),""))</f>
        <v/>
      </c>
      <c r="K273" s="8">
        <f>IF($A273="","",IFERROR(MINIFS(Pagos!$C:$C,Pagos!$A:$A,$A273,Pagos!$F:$F,"Programado"),""))</f>
        <v/>
      </c>
      <c r="L273" s="9">
        <f>IF($A273="","",IF($K273="","",$K273-TODAY()))</f>
        <v/>
      </c>
      <c r="M273" s="9">
        <f>IF($A273="","",IF($H273&lt;=0,"Liquidada",IF(AND($K273&lt;&gt;"",$K273&lt;TODAY()),"Vencida",IF($G273&gt;0,"Parcial","Pendiente"))))</f>
        <v/>
      </c>
      <c r="N273" s="3" t="n"/>
      <c r="O273" s="3" t="n"/>
    </row>
    <row r="274">
      <c r="A274" s="3" t="n"/>
      <c r="B274" s="4" t="n"/>
      <c r="C274" s="3" t="n"/>
      <c r="D274" s="3" t="n"/>
      <c r="E274" s="3" t="n"/>
      <c r="F274" s="5" t="n"/>
      <c r="G274" s="6">
        <f>IF($A274="","",SUMIFS(Pagos!$D:$D,Pagos!$A:$A,$A274,Pagos!$F:$F,"Pagado"))</f>
        <v/>
      </c>
      <c r="H274" s="6">
        <f>IF($A274="","",$F274-$G274)</f>
        <v/>
      </c>
      <c r="I274" s="7">
        <f>IF($A274="","",IF($F274=0,0,$G274/$F274))</f>
        <v/>
      </c>
      <c r="J274" s="8">
        <f>IF($A274="","",IFERROR(MAXIFS(Pagos!$C:$C,Pagos!$A:$A,$A274,Pagos!$F:$F,"Pagado"),""))</f>
        <v/>
      </c>
      <c r="K274" s="8">
        <f>IF($A274="","",IFERROR(MINIFS(Pagos!$C:$C,Pagos!$A:$A,$A274,Pagos!$F:$F,"Programado"),""))</f>
        <v/>
      </c>
      <c r="L274" s="9">
        <f>IF($A274="","",IF($K274="","",$K274-TODAY()))</f>
        <v/>
      </c>
      <c r="M274" s="9">
        <f>IF($A274="","",IF($H274&lt;=0,"Liquidada",IF(AND($K274&lt;&gt;"",$K274&lt;TODAY()),"Vencida",IF($G274&gt;0,"Parcial","Pendiente"))))</f>
        <v/>
      </c>
      <c r="N274" s="3" t="n"/>
      <c r="O274" s="3" t="n"/>
    </row>
    <row r="275">
      <c r="A275" s="3" t="n"/>
      <c r="B275" s="4" t="n"/>
      <c r="C275" s="3" t="n"/>
      <c r="D275" s="3" t="n"/>
      <c r="E275" s="3" t="n"/>
      <c r="F275" s="5" t="n"/>
      <c r="G275" s="6">
        <f>IF($A275="","",SUMIFS(Pagos!$D:$D,Pagos!$A:$A,$A275,Pagos!$F:$F,"Pagado"))</f>
        <v/>
      </c>
      <c r="H275" s="6">
        <f>IF($A275="","",$F275-$G275)</f>
        <v/>
      </c>
      <c r="I275" s="7">
        <f>IF($A275="","",IF($F275=0,0,$G275/$F275))</f>
        <v/>
      </c>
      <c r="J275" s="8">
        <f>IF($A275="","",IFERROR(MAXIFS(Pagos!$C:$C,Pagos!$A:$A,$A275,Pagos!$F:$F,"Pagado"),""))</f>
        <v/>
      </c>
      <c r="K275" s="8">
        <f>IF($A275="","",IFERROR(MINIFS(Pagos!$C:$C,Pagos!$A:$A,$A275,Pagos!$F:$F,"Programado"),""))</f>
        <v/>
      </c>
      <c r="L275" s="9">
        <f>IF($A275="","",IF($K275="","",$K275-TODAY()))</f>
        <v/>
      </c>
      <c r="M275" s="9">
        <f>IF($A275="","",IF($H275&lt;=0,"Liquidada",IF(AND($K275&lt;&gt;"",$K275&lt;TODAY()),"Vencida",IF($G275&gt;0,"Parcial","Pendiente"))))</f>
        <v/>
      </c>
      <c r="N275" s="3" t="n"/>
      <c r="O275" s="3" t="n"/>
    </row>
    <row r="276">
      <c r="A276" s="3" t="n"/>
      <c r="B276" s="4" t="n"/>
      <c r="C276" s="3" t="n"/>
      <c r="D276" s="3" t="n"/>
      <c r="E276" s="3" t="n"/>
      <c r="F276" s="5" t="n"/>
      <c r="G276" s="6">
        <f>IF($A276="","",SUMIFS(Pagos!$D:$D,Pagos!$A:$A,$A276,Pagos!$F:$F,"Pagado"))</f>
        <v/>
      </c>
      <c r="H276" s="6">
        <f>IF($A276="","",$F276-$G276)</f>
        <v/>
      </c>
      <c r="I276" s="7">
        <f>IF($A276="","",IF($F276=0,0,$G276/$F276))</f>
        <v/>
      </c>
      <c r="J276" s="8">
        <f>IF($A276="","",IFERROR(MAXIFS(Pagos!$C:$C,Pagos!$A:$A,$A276,Pagos!$F:$F,"Pagado"),""))</f>
        <v/>
      </c>
      <c r="K276" s="8">
        <f>IF($A276="","",IFERROR(MINIFS(Pagos!$C:$C,Pagos!$A:$A,$A276,Pagos!$F:$F,"Programado"),""))</f>
        <v/>
      </c>
      <c r="L276" s="9">
        <f>IF($A276="","",IF($K276="","",$K276-TODAY()))</f>
        <v/>
      </c>
      <c r="M276" s="9">
        <f>IF($A276="","",IF($H276&lt;=0,"Liquidada",IF(AND($K276&lt;&gt;"",$K276&lt;TODAY()),"Vencida",IF($G276&gt;0,"Parcial","Pendiente"))))</f>
        <v/>
      </c>
      <c r="N276" s="3" t="n"/>
      <c r="O276" s="3" t="n"/>
    </row>
    <row r="277">
      <c r="A277" s="3" t="n"/>
      <c r="B277" s="4" t="n"/>
      <c r="C277" s="3" t="n"/>
      <c r="D277" s="3" t="n"/>
      <c r="E277" s="3" t="n"/>
      <c r="F277" s="5" t="n"/>
      <c r="G277" s="6">
        <f>IF($A277="","",SUMIFS(Pagos!$D:$D,Pagos!$A:$A,$A277,Pagos!$F:$F,"Pagado"))</f>
        <v/>
      </c>
      <c r="H277" s="6">
        <f>IF($A277="","",$F277-$G277)</f>
        <v/>
      </c>
      <c r="I277" s="7">
        <f>IF($A277="","",IF($F277=0,0,$G277/$F277))</f>
        <v/>
      </c>
      <c r="J277" s="8">
        <f>IF($A277="","",IFERROR(MAXIFS(Pagos!$C:$C,Pagos!$A:$A,$A277,Pagos!$F:$F,"Pagado"),""))</f>
        <v/>
      </c>
      <c r="K277" s="8">
        <f>IF($A277="","",IFERROR(MINIFS(Pagos!$C:$C,Pagos!$A:$A,$A277,Pagos!$F:$F,"Programado"),""))</f>
        <v/>
      </c>
      <c r="L277" s="9">
        <f>IF($A277="","",IF($K277="","",$K277-TODAY()))</f>
        <v/>
      </c>
      <c r="M277" s="9">
        <f>IF($A277="","",IF($H277&lt;=0,"Liquidada",IF(AND($K277&lt;&gt;"",$K277&lt;TODAY()),"Vencida",IF($G277&gt;0,"Parcial","Pendiente"))))</f>
        <v/>
      </c>
      <c r="N277" s="3" t="n"/>
      <c r="O277" s="3" t="n"/>
    </row>
    <row r="278">
      <c r="A278" s="3" t="n"/>
      <c r="B278" s="4" t="n"/>
      <c r="C278" s="3" t="n"/>
      <c r="D278" s="3" t="n"/>
      <c r="E278" s="3" t="n"/>
      <c r="F278" s="5" t="n"/>
      <c r="G278" s="6">
        <f>IF($A278="","",SUMIFS(Pagos!$D:$D,Pagos!$A:$A,$A278,Pagos!$F:$F,"Pagado"))</f>
        <v/>
      </c>
      <c r="H278" s="6">
        <f>IF($A278="","",$F278-$G278)</f>
        <v/>
      </c>
      <c r="I278" s="7">
        <f>IF($A278="","",IF($F278=0,0,$G278/$F278))</f>
        <v/>
      </c>
      <c r="J278" s="8">
        <f>IF($A278="","",IFERROR(MAXIFS(Pagos!$C:$C,Pagos!$A:$A,$A278,Pagos!$F:$F,"Pagado"),""))</f>
        <v/>
      </c>
      <c r="K278" s="8">
        <f>IF($A278="","",IFERROR(MINIFS(Pagos!$C:$C,Pagos!$A:$A,$A278,Pagos!$F:$F,"Programado"),""))</f>
        <v/>
      </c>
      <c r="L278" s="9">
        <f>IF($A278="","",IF($K278="","",$K278-TODAY()))</f>
        <v/>
      </c>
      <c r="M278" s="9">
        <f>IF($A278="","",IF($H278&lt;=0,"Liquidada",IF(AND($K278&lt;&gt;"",$K278&lt;TODAY()),"Vencida",IF($G278&gt;0,"Parcial","Pendiente"))))</f>
        <v/>
      </c>
      <c r="N278" s="3" t="n"/>
      <c r="O278" s="3" t="n"/>
    </row>
    <row r="279">
      <c r="A279" s="3" t="n"/>
      <c r="B279" s="4" t="n"/>
      <c r="C279" s="3" t="n"/>
      <c r="D279" s="3" t="n"/>
      <c r="E279" s="3" t="n"/>
      <c r="F279" s="5" t="n"/>
      <c r="G279" s="6">
        <f>IF($A279="","",SUMIFS(Pagos!$D:$D,Pagos!$A:$A,$A279,Pagos!$F:$F,"Pagado"))</f>
        <v/>
      </c>
      <c r="H279" s="6">
        <f>IF($A279="","",$F279-$G279)</f>
        <v/>
      </c>
      <c r="I279" s="7">
        <f>IF($A279="","",IF($F279=0,0,$G279/$F279))</f>
        <v/>
      </c>
      <c r="J279" s="8">
        <f>IF($A279="","",IFERROR(MAXIFS(Pagos!$C:$C,Pagos!$A:$A,$A279,Pagos!$F:$F,"Pagado"),""))</f>
        <v/>
      </c>
      <c r="K279" s="8">
        <f>IF($A279="","",IFERROR(MINIFS(Pagos!$C:$C,Pagos!$A:$A,$A279,Pagos!$F:$F,"Programado"),""))</f>
        <v/>
      </c>
      <c r="L279" s="9">
        <f>IF($A279="","",IF($K279="","",$K279-TODAY()))</f>
        <v/>
      </c>
      <c r="M279" s="9">
        <f>IF($A279="","",IF($H279&lt;=0,"Liquidada",IF(AND($K279&lt;&gt;"",$K279&lt;TODAY()),"Vencida",IF($G279&gt;0,"Parcial","Pendiente"))))</f>
        <v/>
      </c>
      <c r="N279" s="3" t="n"/>
      <c r="O279" s="3" t="n"/>
    </row>
    <row r="280">
      <c r="A280" s="3" t="n"/>
      <c r="B280" s="4" t="n"/>
      <c r="C280" s="3" t="n"/>
      <c r="D280" s="3" t="n"/>
      <c r="E280" s="3" t="n"/>
      <c r="F280" s="5" t="n"/>
      <c r="G280" s="6">
        <f>IF($A280="","",SUMIFS(Pagos!$D:$D,Pagos!$A:$A,$A280,Pagos!$F:$F,"Pagado"))</f>
        <v/>
      </c>
      <c r="H280" s="6">
        <f>IF($A280="","",$F280-$G280)</f>
        <v/>
      </c>
      <c r="I280" s="7">
        <f>IF($A280="","",IF($F280=0,0,$G280/$F280))</f>
        <v/>
      </c>
      <c r="J280" s="8">
        <f>IF($A280="","",IFERROR(MAXIFS(Pagos!$C:$C,Pagos!$A:$A,$A280,Pagos!$F:$F,"Pagado"),""))</f>
        <v/>
      </c>
      <c r="K280" s="8">
        <f>IF($A280="","",IFERROR(MINIFS(Pagos!$C:$C,Pagos!$A:$A,$A280,Pagos!$F:$F,"Programado"),""))</f>
        <v/>
      </c>
      <c r="L280" s="9">
        <f>IF($A280="","",IF($K280="","",$K280-TODAY()))</f>
        <v/>
      </c>
      <c r="M280" s="9">
        <f>IF($A280="","",IF($H280&lt;=0,"Liquidada",IF(AND($K280&lt;&gt;"",$K280&lt;TODAY()),"Vencida",IF($G280&gt;0,"Parcial","Pendiente"))))</f>
        <v/>
      </c>
      <c r="N280" s="3" t="n"/>
      <c r="O280" s="3" t="n"/>
    </row>
    <row r="281">
      <c r="A281" s="3" t="n"/>
      <c r="B281" s="4" t="n"/>
      <c r="C281" s="3" t="n"/>
      <c r="D281" s="3" t="n"/>
      <c r="E281" s="3" t="n"/>
      <c r="F281" s="5" t="n"/>
      <c r="G281" s="6">
        <f>IF($A281="","",SUMIFS(Pagos!$D:$D,Pagos!$A:$A,$A281,Pagos!$F:$F,"Pagado"))</f>
        <v/>
      </c>
      <c r="H281" s="6">
        <f>IF($A281="","",$F281-$G281)</f>
        <v/>
      </c>
      <c r="I281" s="7">
        <f>IF($A281="","",IF($F281=0,0,$G281/$F281))</f>
        <v/>
      </c>
      <c r="J281" s="8">
        <f>IF($A281="","",IFERROR(MAXIFS(Pagos!$C:$C,Pagos!$A:$A,$A281,Pagos!$F:$F,"Pagado"),""))</f>
        <v/>
      </c>
      <c r="K281" s="8">
        <f>IF($A281="","",IFERROR(MINIFS(Pagos!$C:$C,Pagos!$A:$A,$A281,Pagos!$F:$F,"Programado"),""))</f>
        <v/>
      </c>
      <c r="L281" s="9">
        <f>IF($A281="","",IF($K281="","",$K281-TODAY()))</f>
        <v/>
      </c>
      <c r="M281" s="9">
        <f>IF($A281="","",IF($H281&lt;=0,"Liquidada",IF(AND($K281&lt;&gt;"",$K281&lt;TODAY()),"Vencida",IF($G281&gt;0,"Parcial","Pendiente"))))</f>
        <v/>
      </c>
      <c r="N281" s="3" t="n"/>
      <c r="O281" s="3" t="n"/>
    </row>
    <row r="282">
      <c r="A282" s="3" t="n"/>
      <c r="B282" s="4" t="n"/>
      <c r="C282" s="3" t="n"/>
      <c r="D282" s="3" t="n"/>
      <c r="E282" s="3" t="n"/>
      <c r="F282" s="5" t="n"/>
      <c r="G282" s="6">
        <f>IF($A282="","",SUMIFS(Pagos!$D:$D,Pagos!$A:$A,$A282,Pagos!$F:$F,"Pagado"))</f>
        <v/>
      </c>
      <c r="H282" s="6">
        <f>IF($A282="","",$F282-$G282)</f>
        <v/>
      </c>
      <c r="I282" s="7">
        <f>IF($A282="","",IF($F282=0,0,$G282/$F282))</f>
        <v/>
      </c>
      <c r="J282" s="8">
        <f>IF($A282="","",IFERROR(MAXIFS(Pagos!$C:$C,Pagos!$A:$A,$A282,Pagos!$F:$F,"Pagado"),""))</f>
        <v/>
      </c>
      <c r="K282" s="8">
        <f>IF($A282="","",IFERROR(MINIFS(Pagos!$C:$C,Pagos!$A:$A,$A282,Pagos!$F:$F,"Programado"),""))</f>
        <v/>
      </c>
      <c r="L282" s="9">
        <f>IF($A282="","",IF($K282="","",$K282-TODAY()))</f>
        <v/>
      </c>
      <c r="M282" s="9">
        <f>IF($A282="","",IF($H282&lt;=0,"Liquidada",IF(AND($K282&lt;&gt;"",$K282&lt;TODAY()),"Vencida",IF($G282&gt;0,"Parcial","Pendiente"))))</f>
        <v/>
      </c>
      <c r="N282" s="3" t="n"/>
      <c r="O282" s="3" t="n"/>
    </row>
    <row r="283">
      <c r="A283" s="3" t="n"/>
      <c r="B283" s="4" t="n"/>
      <c r="C283" s="3" t="n"/>
      <c r="D283" s="3" t="n"/>
      <c r="E283" s="3" t="n"/>
      <c r="F283" s="5" t="n"/>
      <c r="G283" s="6">
        <f>IF($A283="","",SUMIFS(Pagos!$D:$D,Pagos!$A:$A,$A283,Pagos!$F:$F,"Pagado"))</f>
        <v/>
      </c>
      <c r="H283" s="6">
        <f>IF($A283="","",$F283-$G283)</f>
        <v/>
      </c>
      <c r="I283" s="7">
        <f>IF($A283="","",IF($F283=0,0,$G283/$F283))</f>
        <v/>
      </c>
      <c r="J283" s="8">
        <f>IF($A283="","",IFERROR(MAXIFS(Pagos!$C:$C,Pagos!$A:$A,$A283,Pagos!$F:$F,"Pagado"),""))</f>
        <v/>
      </c>
      <c r="K283" s="8">
        <f>IF($A283="","",IFERROR(MINIFS(Pagos!$C:$C,Pagos!$A:$A,$A283,Pagos!$F:$F,"Programado"),""))</f>
        <v/>
      </c>
      <c r="L283" s="9">
        <f>IF($A283="","",IF($K283="","",$K283-TODAY()))</f>
        <v/>
      </c>
      <c r="M283" s="9">
        <f>IF($A283="","",IF($H283&lt;=0,"Liquidada",IF(AND($K283&lt;&gt;"",$K283&lt;TODAY()),"Vencida",IF($G283&gt;0,"Parcial","Pendiente"))))</f>
        <v/>
      </c>
      <c r="N283" s="3" t="n"/>
      <c r="O283" s="3" t="n"/>
    </row>
    <row r="284">
      <c r="A284" s="3" t="n"/>
      <c r="B284" s="4" t="n"/>
      <c r="C284" s="3" t="n"/>
      <c r="D284" s="3" t="n"/>
      <c r="E284" s="3" t="n"/>
      <c r="F284" s="5" t="n"/>
      <c r="G284" s="6">
        <f>IF($A284="","",SUMIFS(Pagos!$D:$D,Pagos!$A:$A,$A284,Pagos!$F:$F,"Pagado"))</f>
        <v/>
      </c>
      <c r="H284" s="6">
        <f>IF($A284="","",$F284-$G284)</f>
        <v/>
      </c>
      <c r="I284" s="7">
        <f>IF($A284="","",IF($F284=0,0,$G284/$F284))</f>
        <v/>
      </c>
      <c r="J284" s="8">
        <f>IF($A284="","",IFERROR(MAXIFS(Pagos!$C:$C,Pagos!$A:$A,$A284,Pagos!$F:$F,"Pagado"),""))</f>
        <v/>
      </c>
      <c r="K284" s="8">
        <f>IF($A284="","",IFERROR(MINIFS(Pagos!$C:$C,Pagos!$A:$A,$A284,Pagos!$F:$F,"Programado"),""))</f>
        <v/>
      </c>
      <c r="L284" s="9">
        <f>IF($A284="","",IF($K284="","",$K284-TODAY()))</f>
        <v/>
      </c>
      <c r="M284" s="9">
        <f>IF($A284="","",IF($H284&lt;=0,"Liquidada",IF(AND($K284&lt;&gt;"",$K284&lt;TODAY()),"Vencida",IF($G284&gt;0,"Parcial","Pendiente"))))</f>
        <v/>
      </c>
      <c r="N284" s="3" t="n"/>
      <c r="O284" s="3" t="n"/>
    </row>
    <row r="285">
      <c r="A285" s="3" t="n"/>
      <c r="B285" s="4" t="n"/>
      <c r="C285" s="3" t="n"/>
      <c r="D285" s="3" t="n"/>
      <c r="E285" s="3" t="n"/>
      <c r="F285" s="5" t="n"/>
      <c r="G285" s="6">
        <f>IF($A285="","",SUMIFS(Pagos!$D:$D,Pagos!$A:$A,$A285,Pagos!$F:$F,"Pagado"))</f>
        <v/>
      </c>
      <c r="H285" s="6">
        <f>IF($A285="","",$F285-$G285)</f>
        <v/>
      </c>
      <c r="I285" s="7">
        <f>IF($A285="","",IF($F285=0,0,$G285/$F285))</f>
        <v/>
      </c>
      <c r="J285" s="8">
        <f>IF($A285="","",IFERROR(MAXIFS(Pagos!$C:$C,Pagos!$A:$A,$A285,Pagos!$F:$F,"Pagado"),""))</f>
        <v/>
      </c>
      <c r="K285" s="8">
        <f>IF($A285="","",IFERROR(MINIFS(Pagos!$C:$C,Pagos!$A:$A,$A285,Pagos!$F:$F,"Programado"),""))</f>
        <v/>
      </c>
      <c r="L285" s="9">
        <f>IF($A285="","",IF($K285="","",$K285-TODAY()))</f>
        <v/>
      </c>
      <c r="M285" s="9">
        <f>IF($A285="","",IF($H285&lt;=0,"Liquidada",IF(AND($K285&lt;&gt;"",$K285&lt;TODAY()),"Vencida",IF($G285&gt;0,"Parcial","Pendiente"))))</f>
        <v/>
      </c>
      <c r="N285" s="3" t="n"/>
      <c r="O285" s="3" t="n"/>
    </row>
    <row r="286">
      <c r="A286" s="3" t="n"/>
      <c r="B286" s="4" t="n"/>
      <c r="C286" s="3" t="n"/>
      <c r="D286" s="3" t="n"/>
      <c r="E286" s="3" t="n"/>
      <c r="F286" s="5" t="n"/>
      <c r="G286" s="6">
        <f>IF($A286="","",SUMIFS(Pagos!$D:$D,Pagos!$A:$A,$A286,Pagos!$F:$F,"Pagado"))</f>
        <v/>
      </c>
      <c r="H286" s="6">
        <f>IF($A286="","",$F286-$G286)</f>
        <v/>
      </c>
      <c r="I286" s="7">
        <f>IF($A286="","",IF($F286=0,0,$G286/$F286))</f>
        <v/>
      </c>
      <c r="J286" s="8">
        <f>IF($A286="","",IFERROR(MAXIFS(Pagos!$C:$C,Pagos!$A:$A,$A286,Pagos!$F:$F,"Pagado"),""))</f>
        <v/>
      </c>
      <c r="K286" s="8">
        <f>IF($A286="","",IFERROR(MINIFS(Pagos!$C:$C,Pagos!$A:$A,$A286,Pagos!$F:$F,"Programado"),""))</f>
        <v/>
      </c>
      <c r="L286" s="9">
        <f>IF($A286="","",IF($K286="","",$K286-TODAY()))</f>
        <v/>
      </c>
      <c r="M286" s="9">
        <f>IF($A286="","",IF($H286&lt;=0,"Liquidada",IF(AND($K286&lt;&gt;"",$K286&lt;TODAY()),"Vencida",IF($G286&gt;0,"Parcial","Pendiente"))))</f>
        <v/>
      </c>
      <c r="N286" s="3" t="n"/>
      <c r="O286" s="3" t="n"/>
    </row>
    <row r="287">
      <c r="A287" s="3" t="n"/>
      <c r="B287" s="4" t="n"/>
      <c r="C287" s="3" t="n"/>
      <c r="D287" s="3" t="n"/>
      <c r="E287" s="3" t="n"/>
      <c r="F287" s="5" t="n"/>
      <c r="G287" s="6">
        <f>IF($A287="","",SUMIFS(Pagos!$D:$D,Pagos!$A:$A,$A287,Pagos!$F:$F,"Pagado"))</f>
        <v/>
      </c>
      <c r="H287" s="6">
        <f>IF($A287="","",$F287-$G287)</f>
        <v/>
      </c>
      <c r="I287" s="7">
        <f>IF($A287="","",IF($F287=0,0,$G287/$F287))</f>
        <v/>
      </c>
      <c r="J287" s="8">
        <f>IF($A287="","",IFERROR(MAXIFS(Pagos!$C:$C,Pagos!$A:$A,$A287,Pagos!$F:$F,"Pagado"),""))</f>
        <v/>
      </c>
      <c r="K287" s="8">
        <f>IF($A287="","",IFERROR(MINIFS(Pagos!$C:$C,Pagos!$A:$A,$A287,Pagos!$F:$F,"Programado"),""))</f>
        <v/>
      </c>
      <c r="L287" s="9">
        <f>IF($A287="","",IF($K287="","",$K287-TODAY()))</f>
        <v/>
      </c>
      <c r="M287" s="9">
        <f>IF($A287="","",IF($H287&lt;=0,"Liquidada",IF(AND($K287&lt;&gt;"",$K287&lt;TODAY()),"Vencida",IF($G287&gt;0,"Parcial","Pendiente"))))</f>
        <v/>
      </c>
      <c r="N287" s="3" t="n"/>
      <c r="O287" s="3" t="n"/>
    </row>
    <row r="288">
      <c r="A288" s="3" t="n"/>
      <c r="B288" s="4" t="n"/>
      <c r="C288" s="3" t="n"/>
      <c r="D288" s="3" t="n"/>
      <c r="E288" s="3" t="n"/>
      <c r="F288" s="5" t="n"/>
      <c r="G288" s="6">
        <f>IF($A288="","",SUMIFS(Pagos!$D:$D,Pagos!$A:$A,$A288,Pagos!$F:$F,"Pagado"))</f>
        <v/>
      </c>
      <c r="H288" s="6">
        <f>IF($A288="","",$F288-$G288)</f>
        <v/>
      </c>
      <c r="I288" s="7">
        <f>IF($A288="","",IF($F288=0,0,$G288/$F288))</f>
        <v/>
      </c>
      <c r="J288" s="8">
        <f>IF($A288="","",IFERROR(MAXIFS(Pagos!$C:$C,Pagos!$A:$A,$A288,Pagos!$F:$F,"Pagado"),""))</f>
        <v/>
      </c>
      <c r="K288" s="8">
        <f>IF($A288="","",IFERROR(MINIFS(Pagos!$C:$C,Pagos!$A:$A,$A288,Pagos!$F:$F,"Programado"),""))</f>
        <v/>
      </c>
      <c r="L288" s="9">
        <f>IF($A288="","",IF($K288="","",$K288-TODAY()))</f>
        <v/>
      </c>
      <c r="M288" s="9">
        <f>IF($A288="","",IF($H288&lt;=0,"Liquidada",IF(AND($K288&lt;&gt;"",$K288&lt;TODAY()),"Vencida",IF($G288&gt;0,"Parcial","Pendiente"))))</f>
        <v/>
      </c>
      <c r="N288" s="3" t="n"/>
      <c r="O288" s="3" t="n"/>
    </row>
    <row r="289">
      <c r="A289" s="3" t="n"/>
      <c r="B289" s="4" t="n"/>
      <c r="C289" s="3" t="n"/>
      <c r="D289" s="3" t="n"/>
      <c r="E289" s="3" t="n"/>
      <c r="F289" s="5" t="n"/>
      <c r="G289" s="6">
        <f>IF($A289="","",SUMIFS(Pagos!$D:$D,Pagos!$A:$A,$A289,Pagos!$F:$F,"Pagado"))</f>
        <v/>
      </c>
      <c r="H289" s="6">
        <f>IF($A289="","",$F289-$G289)</f>
        <v/>
      </c>
      <c r="I289" s="7">
        <f>IF($A289="","",IF($F289=0,0,$G289/$F289))</f>
        <v/>
      </c>
      <c r="J289" s="8">
        <f>IF($A289="","",IFERROR(MAXIFS(Pagos!$C:$C,Pagos!$A:$A,$A289,Pagos!$F:$F,"Pagado"),""))</f>
        <v/>
      </c>
      <c r="K289" s="8">
        <f>IF($A289="","",IFERROR(MINIFS(Pagos!$C:$C,Pagos!$A:$A,$A289,Pagos!$F:$F,"Programado"),""))</f>
        <v/>
      </c>
      <c r="L289" s="9">
        <f>IF($A289="","",IF($K289="","",$K289-TODAY()))</f>
        <v/>
      </c>
      <c r="M289" s="9">
        <f>IF($A289="","",IF($H289&lt;=0,"Liquidada",IF(AND($K289&lt;&gt;"",$K289&lt;TODAY()),"Vencida",IF($G289&gt;0,"Parcial","Pendiente"))))</f>
        <v/>
      </c>
      <c r="N289" s="3" t="n"/>
      <c r="O289" s="3" t="n"/>
    </row>
    <row r="290">
      <c r="A290" s="3" t="n"/>
      <c r="B290" s="4" t="n"/>
      <c r="C290" s="3" t="n"/>
      <c r="D290" s="3" t="n"/>
      <c r="E290" s="3" t="n"/>
      <c r="F290" s="5" t="n"/>
      <c r="G290" s="6">
        <f>IF($A290="","",SUMIFS(Pagos!$D:$D,Pagos!$A:$A,$A290,Pagos!$F:$F,"Pagado"))</f>
        <v/>
      </c>
      <c r="H290" s="6">
        <f>IF($A290="","",$F290-$G290)</f>
        <v/>
      </c>
      <c r="I290" s="7">
        <f>IF($A290="","",IF($F290=0,0,$G290/$F290))</f>
        <v/>
      </c>
      <c r="J290" s="8">
        <f>IF($A290="","",IFERROR(MAXIFS(Pagos!$C:$C,Pagos!$A:$A,$A290,Pagos!$F:$F,"Pagado"),""))</f>
        <v/>
      </c>
      <c r="K290" s="8">
        <f>IF($A290="","",IFERROR(MINIFS(Pagos!$C:$C,Pagos!$A:$A,$A290,Pagos!$F:$F,"Programado"),""))</f>
        <v/>
      </c>
      <c r="L290" s="9">
        <f>IF($A290="","",IF($K290="","",$K290-TODAY()))</f>
        <v/>
      </c>
      <c r="M290" s="9">
        <f>IF($A290="","",IF($H290&lt;=0,"Liquidada",IF(AND($K290&lt;&gt;"",$K290&lt;TODAY()),"Vencida",IF($G290&gt;0,"Parcial","Pendiente"))))</f>
        <v/>
      </c>
      <c r="N290" s="3" t="n"/>
      <c r="O290" s="3" t="n"/>
    </row>
    <row r="291">
      <c r="A291" s="3" t="n"/>
      <c r="B291" s="4" t="n"/>
      <c r="C291" s="3" t="n"/>
      <c r="D291" s="3" t="n"/>
      <c r="E291" s="3" t="n"/>
      <c r="F291" s="5" t="n"/>
      <c r="G291" s="6">
        <f>IF($A291="","",SUMIFS(Pagos!$D:$D,Pagos!$A:$A,$A291,Pagos!$F:$F,"Pagado"))</f>
        <v/>
      </c>
      <c r="H291" s="6">
        <f>IF($A291="","",$F291-$G291)</f>
        <v/>
      </c>
      <c r="I291" s="7">
        <f>IF($A291="","",IF($F291=0,0,$G291/$F291))</f>
        <v/>
      </c>
      <c r="J291" s="8">
        <f>IF($A291="","",IFERROR(MAXIFS(Pagos!$C:$C,Pagos!$A:$A,$A291,Pagos!$F:$F,"Pagado"),""))</f>
        <v/>
      </c>
      <c r="K291" s="8">
        <f>IF($A291="","",IFERROR(MINIFS(Pagos!$C:$C,Pagos!$A:$A,$A291,Pagos!$F:$F,"Programado"),""))</f>
        <v/>
      </c>
      <c r="L291" s="9">
        <f>IF($A291="","",IF($K291="","",$K291-TODAY()))</f>
        <v/>
      </c>
      <c r="M291" s="9">
        <f>IF($A291="","",IF($H291&lt;=0,"Liquidada",IF(AND($K291&lt;&gt;"",$K291&lt;TODAY()),"Vencida",IF($G291&gt;0,"Parcial","Pendiente"))))</f>
        <v/>
      </c>
      <c r="N291" s="3" t="n"/>
      <c r="O291" s="3" t="n"/>
    </row>
    <row r="292">
      <c r="A292" s="3" t="n"/>
      <c r="B292" s="4" t="n"/>
      <c r="C292" s="3" t="n"/>
      <c r="D292" s="3" t="n"/>
      <c r="E292" s="3" t="n"/>
      <c r="F292" s="5" t="n"/>
      <c r="G292" s="6">
        <f>IF($A292="","",SUMIFS(Pagos!$D:$D,Pagos!$A:$A,$A292,Pagos!$F:$F,"Pagado"))</f>
        <v/>
      </c>
      <c r="H292" s="6">
        <f>IF($A292="","",$F292-$G292)</f>
        <v/>
      </c>
      <c r="I292" s="7">
        <f>IF($A292="","",IF($F292=0,0,$G292/$F292))</f>
        <v/>
      </c>
      <c r="J292" s="8">
        <f>IF($A292="","",IFERROR(MAXIFS(Pagos!$C:$C,Pagos!$A:$A,$A292,Pagos!$F:$F,"Pagado"),""))</f>
        <v/>
      </c>
      <c r="K292" s="8">
        <f>IF($A292="","",IFERROR(MINIFS(Pagos!$C:$C,Pagos!$A:$A,$A292,Pagos!$F:$F,"Programado"),""))</f>
        <v/>
      </c>
      <c r="L292" s="9">
        <f>IF($A292="","",IF($K292="","",$K292-TODAY()))</f>
        <v/>
      </c>
      <c r="M292" s="9">
        <f>IF($A292="","",IF($H292&lt;=0,"Liquidada",IF(AND($K292&lt;&gt;"",$K292&lt;TODAY()),"Vencida",IF($G292&gt;0,"Parcial","Pendiente"))))</f>
        <v/>
      </c>
      <c r="N292" s="3" t="n"/>
      <c r="O292" s="3" t="n"/>
    </row>
    <row r="293">
      <c r="A293" s="3" t="n"/>
      <c r="B293" s="4" t="n"/>
      <c r="C293" s="3" t="n"/>
      <c r="D293" s="3" t="n"/>
      <c r="E293" s="3" t="n"/>
      <c r="F293" s="5" t="n"/>
      <c r="G293" s="6">
        <f>IF($A293="","",SUMIFS(Pagos!$D:$D,Pagos!$A:$A,$A293,Pagos!$F:$F,"Pagado"))</f>
        <v/>
      </c>
      <c r="H293" s="6">
        <f>IF($A293="","",$F293-$G293)</f>
        <v/>
      </c>
      <c r="I293" s="7">
        <f>IF($A293="","",IF($F293=0,0,$G293/$F293))</f>
        <v/>
      </c>
      <c r="J293" s="8">
        <f>IF($A293="","",IFERROR(MAXIFS(Pagos!$C:$C,Pagos!$A:$A,$A293,Pagos!$F:$F,"Pagado"),""))</f>
        <v/>
      </c>
      <c r="K293" s="8">
        <f>IF($A293="","",IFERROR(MINIFS(Pagos!$C:$C,Pagos!$A:$A,$A293,Pagos!$F:$F,"Programado"),""))</f>
        <v/>
      </c>
      <c r="L293" s="9">
        <f>IF($A293="","",IF($K293="","",$K293-TODAY()))</f>
        <v/>
      </c>
      <c r="M293" s="9">
        <f>IF($A293="","",IF($H293&lt;=0,"Liquidada",IF(AND($K293&lt;&gt;"",$K293&lt;TODAY()),"Vencida",IF($G293&gt;0,"Parcial","Pendiente"))))</f>
        <v/>
      </c>
      <c r="N293" s="3" t="n"/>
      <c r="O293" s="3" t="n"/>
    </row>
    <row r="294">
      <c r="A294" s="3" t="n"/>
      <c r="B294" s="4" t="n"/>
      <c r="C294" s="3" t="n"/>
      <c r="D294" s="3" t="n"/>
      <c r="E294" s="3" t="n"/>
      <c r="F294" s="5" t="n"/>
      <c r="G294" s="6">
        <f>IF($A294="","",SUMIFS(Pagos!$D:$D,Pagos!$A:$A,$A294,Pagos!$F:$F,"Pagado"))</f>
        <v/>
      </c>
      <c r="H294" s="6">
        <f>IF($A294="","",$F294-$G294)</f>
        <v/>
      </c>
      <c r="I294" s="7">
        <f>IF($A294="","",IF($F294=0,0,$G294/$F294))</f>
        <v/>
      </c>
      <c r="J294" s="8">
        <f>IF($A294="","",IFERROR(MAXIFS(Pagos!$C:$C,Pagos!$A:$A,$A294,Pagos!$F:$F,"Pagado"),""))</f>
        <v/>
      </c>
      <c r="K294" s="8">
        <f>IF($A294="","",IFERROR(MINIFS(Pagos!$C:$C,Pagos!$A:$A,$A294,Pagos!$F:$F,"Programado"),""))</f>
        <v/>
      </c>
      <c r="L294" s="9">
        <f>IF($A294="","",IF($K294="","",$K294-TODAY()))</f>
        <v/>
      </c>
      <c r="M294" s="9">
        <f>IF($A294="","",IF($H294&lt;=0,"Liquidada",IF(AND($K294&lt;&gt;"",$K294&lt;TODAY()),"Vencida",IF($G294&gt;0,"Parcial","Pendiente"))))</f>
        <v/>
      </c>
      <c r="N294" s="3" t="n"/>
      <c r="O294" s="3" t="n"/>
    </row>
    <row r="295">
      <c r="A295" s="3" t="n"/>
      <c r="B295" s="4" t="n"/>
      <c r="C295" s="3" t="n"/>
      <c r="D295" s="3" t="n"/>
      <c r="E295" s="3" t="n"/>
      <c r="F295" s="5" t="n"/>
      <c r="G295" s="6">
        <f>IF($A295="","",SUMIFS(Pagos!$D:$D,Pagos!$A:$A,$A295,Pagos!$F:$F,"Pagado"))</f>
        <v/>
      </c>
      <c r="H295" s="6">
        <f>IF($A295="","",$F295-$G295)</f>
        <v/>
      </c>
      <c r="I295" s="7">
        <f>IF($A295="","",IF($F295=0,0,$G295/$F295))</f>
        <v/>
      </c>
      <c r="J295" s="8">
        <f>IF($A295="","",IFERROR(MAXIFS(Pagos!$C:$C,Pagos!$A:$A,$A295,Pagos!$F:$F,"Pagado"),""))</f>
        <v/>
      </c>
      <c r="K295" s="8">
        <f>IF($A295="","",IFERROR(MINIFS(Pagos!$C:$C,Pagos!$A:$A,$A295,Pagos!$F:$F,"Programado"),""))</f>
        <v/>
      </c>
      <c r="L295" s="9">
        <f>IF($A295="","",IF($K295="","",$K295-TODAY()))</f>
        <v/>
      </c>
      <c r="M295" s="9">
        <f>IF($A295="","",IF($H295&lt;=0,"Liquidada",IF(AND($K295&lt;&gt;"",$K295&lt;TODAY()),"Vencida",IF($G295&gt;0,"Parcial","Pendiente"))))</f>
        <v/>
      </c>
      <c r="N295" s="3" t="n"/>
      <c r="O295" s="3" t="n"/>
    </row>
    <row r="296">
      <c r="A296" s="3" t="n"/>
      <c r="B296" s="4" t="n"/>
      <c r="C296" s="3" t="n"/>
      <c r="D296" s="3" t="n"/>
      <c r="E296" s="3" t="n"/>
      <c r="F296" s="5" t="n"/>
      <c r="G296" s="6">
        <f>IF($A296="","",SUMIFS(Pagos!$D:$D,Pagos!$A:$A,$A296,Pagos!$F:$F,"Pagado"))</f>
        <v/>
      </c>
      <c r="H296" s="6">
        <f>IF($A296="","",$F296-$G296)</f>
        <v/>
      </c>
      <c r="I296" s="7">
        <f>IF($A296="","",IF($F296=0,0,$G296/$F296))</f>
        <v/>
      </c>
      <c r="J296" s="8">
        <f>IF($A296="","",IFERROR(MAXIFS(Pagos!$C:$C,Pagos!$A:$A,$A296,Pagos!$F:$F,"Pagado"),""))</f>
        <v/>
      </c>
      <c r="K296" s="8">
        <f>IF($A296="","",IFERROR(MINIFS(Pagos!$C:$C,Pagos!$A:$A,$A296,Pagos!$F:$F,"Programado"),""))</f>
        <v/>
      </c>
      <c r="L296" s="9">
        <f>IF($A296="","",IF($K296="","",$K296-TODAY()))</f>
        <v/>
      </c>
      <c r="M296" s="9">
        <f>IF($A296="","",IF($H296&lt;=0,"Liquidada",IF(AND($K296&lt;&gt;"",$K296&lt;TODAY()),"Vencida",IF($G296&gt;0,"Parcial","Pendiente"))))</f>
        <v/>
      </c>
      <c r="N296" s="3" t="n"/>
      <c r="O296" s="3" t="n"/>
    </row>
    <row r="297">
      <c r="A297" s="3" t="n"/>
      <c r="B297" s="4" t="n"/>
      <c r="C297" s="3" t="n"/>
      <c r="D297" s="3" t="n"/>
      <c r="E297" s="3" t="n"/>
      <c r="F297" s="5" t="n"/>
      <c r="G297" s="6">
        <f>IF($A297="","",SUMIFS(Pagos!$D:$D,Pagos!$A:$A,$A297,Pagos!$F:$F,"Pagado"))</f>
        <v/>
      </c>
      <c r="H297" s="6">
        <f>IF($A297="","",$F297-$G297)</f>
        <v/>
      </c>
      <c r="I297" s="7">
        <f>IF($A297="","",IF($F297=0,0,$G297/$F297))</f>
        <v/>
      </c>
      <c r="J297" s="8">
        <f>IF($A297="","",IFERROR(MAXIFS(Pagos!$C:$C,Pagos!$A:$A,$A297,Pagos!$F:$F,"Pagado"),""))</f>
        <v/>
      </c>
      <c r="K297" s="8">
        <f>IF($A297="","",IFERROR(MINIFS(Pagos!$C:$C,Pagos!$A:$A,$A297,Pagos!$F:$F,"Programado"),""))</f>
        <v/>
      </c>
      <c r="L297" s="9">
        <f>IF($A297="","",IF($K297="","",$K297-TODAY()))</f>
        <v/>
      </c>
      <c r="M297" s="9">
        <f>IF($A297="","",IF($H297&lt;=0,"Liquidada",IF(AND($K297&lt;&gt;"",$K297&lt;TODAY()),"Vencida",IF($G297&gt;0,"Parcial","Pendiente"))))</f>
        <v/>
      </c>
      <c r="N297" s="3" t="n"/>
      <c r="O297" s="3" t="n"/>
    </row>
    <row r="298">
      <c r="A298" s="3" t="n"/>
      <c r="B298" s="4" t="n"/>
      <c r="C298" s="3" t="n"/>
      <c r="D298" s="3" t="n"/>
      <c r="E298" s="3" t="n"/>
      <c r="F298" s="5" t="n"/>
      <c r="G298" s="6">
        <f>IF($A298="","",SUMIFS(Pagos!$D:$D,Pagos!$A:$A,$A298,Pagos!$F:$F,"Pagado"))</f>
        <v/>
      </c>
      <c r="H298" s="6">
        <f>IF($A298="","",$F298-$G298)</f>
        <v/>
      </c>
      <c r="I298" s="7">
        <f>IF($A298="","",IF($F298=0,0,$G298/$F298))</f>
        <v/>
      </c>
      <c r="J298" s="8">
        <f>IF($A298="","",IFERROR(MAXIFS(Pagos!$C:$C,Pagos!$A:$A,$A298,Pagos!$F:$F,"Pagado"),""))</f>
        <v/>
      </c>
      <c r="K298" s="8">
        <f>IF($A298="","",IFERROR(MINIFS(Pagos!$C:$C,Pagos!$A:$A,$A298,Pagos!$F:$F,"Programado"),""))</f>
        <v/>
      </c>
      <c r="L298" s="9">
        <f>IF($A298="","",IF($K298="","",$K298-TODAY()))</f>
        <v/>
      </c>
      <c r="M298" s="9">
        <f>IF($A298="","",IF($H298&lt;=0,"Liquidada",IF(AND($K298&lt;&gt;"",$K298&lt;TODAY()),"Vencida",IF($G298&gt;0,"Parcial","Pendiente"))))</f>
        <v/>
      </c>
      <c r="N298" s="3" t="n"/>
      <c r="O298" s="3" t="n"/>
    </row>
    <row r="299">
      <c r="A299" s="3" t="n"/>
      <c r="B299" s="4" t="n"/>
      <c r="C299" s="3" t="n"/>
      <c r="D299" s="3" t="n"/>
      <c r="E299" s="3" t="n"/>
      <c r="F299" s="5" t="n"/>
      <c r="G299" s="6">
        <f>IF($A299="","",SUMIFS(Pagos!$D:$D,Pagos!$A:$A,$A299,Pagos!$F:$F,"Pagado"))</f>
        <v/>
      </c>
      <c r="H299" s="6">
        <f>IF($A299="","",$F299-$G299)</f>
        <v/>
      </c>
      <c r="I299" s="7">
        <f>IF($A299="","",IF($F299=0,0,$G299/$F299))</f>
        <v/>
      </c>
      <c r="J299" s="8">
        <f>IF($A299="","",IFERROR(MAXIFS(Pagos!$C:$C,Pagos!$A:$A,$A299,Pagos!$F:$F,"Pagado"),""))</f>
        <v/>
      </c>
      <c r="K299" s="8">
        <f>IF($A299="","",IFERROR(MINIFS(Pagos!$C:$C,Pagos!$A:$A,$A299,Pagos!$F:$F,"Programado"),""))</f>
        <v/>
      </c>
      <c r="L299" s="9">
        <f>IF($A299="","",IF($K299="","",$K299-TODAY()))</f>
        <v/>
      </c>
      <c r="M299" s="9">
        <f>IF($A299="","",IF($H299&lt;=0,"Liquidada",IF(AND($K299&lt;&gt;"",$K299&lt;TODAY()),"Vencida",IF($G299&gt;0,"Parcial","Pendiente"))))</f>
        <v/>
      </c>
      <c r="N299" s="3" t="n"/>
      <c r="O299" s="3" t="n"/>
    </row>
    <row r="300">
      <c r="A300" s="3" t="n"/>
      <c r="B300" s="4" t="n"/>
      <c r="C300" s="3" t="n"/>
      <c r="D300" s="3" t="n"/>
      <c r="E300" s="3" t="n"/>
      <c r="F300" s="5" t="n"/>
      <c r="G300" s="6">
        <f>IF($A300="","",SUMIFS(Pagos!$D:$D,Pagos!$A:$A,$A300,Pagos!$F:$F,"Pagado"))</f>
        <v/>
      </c>
      <c r="H300" s="6">
        <f>IF($A300="","",$F300-$G300)</f>
        <v/>
      </c>
      <c r="I300" s="7">
        <f>IF($A300="","",IF($F300=0,0,$G300/$F300))</f>
        <v/>
      </c>
      <c r="J300" s="8">
        <f>IF($A300="","",IFERROR(MAXIFS(Pagos!$C:$C,Pagos!$A:$A,$A300,Pagos!$F:$F,"Pagado"),""))</f>
        <v/>
      </c>
      <c r="K300" s="8">
        <f>IF($A300="","",IFERROR(MINIFS(Pagos!$C:$C,Pagos!$A:$A,$A300,Pagos!$F:$F,"Programado"),""))</f>
        <v/>
      </c>
      <c r="L300" s="9">
        <f>IF($A300="","",IF($K300="","",$K300-TODAY()))</f>
        <v/>
      </c>
      <c r="M300" s="9">
        <f>IF($A300="","",IF($H300&lt;=0,"Liquidada",IF(AND($K300&lt;&gt;"",$K300&lt;TODAY()),"Vencida",IF($G300&gt;0,"Parcial","Pendiente"))))</f>
        <v/>
      </c>
      <c r="N300" s="3" t="n"/>
      <c r="O300" s="3" t="n"/>
    </row>
    <row r="301">
      <c r="A301" s="3" t="n"/>
      <c r="B301" s="4" t="n"/>
      <c r="C301" s="3" t="n"/>
      <c r="D301" s="3" t="n"/>
      <c r="E301" s="3" t="n"/>
      <c r="F301" s="5" t="n"/>
      <c r="G301" s="6">
        <f>IF($A301="","",SUMIFS(Pagos!$D:$D,Pagos!$A:$A,$A301,Pagos!$F:$F,"Pagado"))</f>
        <v/>
      </c>
      <c r="H301" s="6">
        <f>IF($A301="","",$F301-$G301)</f>
        <v/>
      </c>
      <c r="I301" s="7">
        <f>IF($A301="","",IF($F301=0,0,$G301/$F301))</f>
        <v/>
      </c>
      <c r="J301" s="8">
        <f>IF($A301="","",IFERROR(MAXIFS(Pagos!$C:$C,Pagos!$A:$A,$A301,Pagos!$F:$F,"Pagado"),""))</f>
        <v/>
      </c>
      <c r="K301" s="8">
        <f>IF($A301="","",IFERROR(MINIFS(Pagos!$C:$C,Pagos!$A:$A,$A301,Pagos!$F:$F,"Programado"),""))</f>
        <v/>
      </c>
      <c r="L301" s="9">
        <f>IF($A301="","",IF($K301="","",$K301-TODAY()))</f>
        <v/>
      </c>
      <c r="M301" s="9">
        <f>IF($A301="","",IF($H301&lt;=0,"Liquidada",IF(AND($K301&lt;&gt;"",$K301&lt;TODAY()),"Vencida",IF($G301&gt;0,"Parcial","Pendiente"))))</f>
        <v/>
      </c>
      <c r="N301" s="3" t="n"/>
      <c r="O301" s="3" t="n"/>
    </row>
  </sheetData>
  <autoFilter ref="A2:O301"/>
  <mergeCells count="1">
    <mergeCell ref="A1:O1"/>
  </mergeCells>
  <conditionalFormatting sqref="M3:M301">
    <cfRule type="expression" priority="1" dxfId="0">
      <formula>M3="Liquidada"</formula>
    </cfRule>
    <cfRule type="expression" priority="2" dxfId="1">
      <formula>M3="Parcial"</formula>
    </cfRule>
    <cfRule type="expression" priority="3" dxfId="2">
      <formula>M3="Vencida"</formula>
    </cfRule>
    <cfRule type="expression" priority="4" dxfId="3">
      <formula>M3="Pendiente"</formula>
    </cfRule>
  </conditionalFormatting>
  <conditionalFormatting sqref="L3:L301">
    <cfRule type="cellIs" priority="5" operator="lessThan" dxfId="2">
      <formula>0</formula>
    </cfRule>
    <cfRule type="cellIs" priority="6" operator="between" dxfId="1">
      <formula>0</formula>
      <formula>7</formula>
    </cfRule>
  </conditionalFormatting>
  <dataValidations count="3">
    <dataValidation sqref="C3:C301" showDropDown="0" showInputMessage="0" showErrorMessage="0" allowBlank="1" type="list">
      <formula1>=Proveedores!$A$3:$A$200</formula1>
    </dataValidation>
    <dataValidation sqref="E3:E301" showDropDown="0" showInputMessage="0" showErrorMessage="0" allowBlank="1" type="list">
      <formula1>=Config!$E$2:$E$6</formula1>
    </dataValidation>
    <dataValidation sqref="M3:M301" showDropDown="0" showInputMessage="0" showErrorMessage="0" allowBlank="1" type="list">
      <formula1>=Config!$A$2:$A$6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5" customWidth="1" min="4" max="4"/>
    <col width="18" customWidth="1" min="5" max="5"/>
    <col width="14" customWidth="1" min="6" max="6"/>
    <col width="26" customWidth="1" min="7" max="7"/>
    <col width="34" customWidth="1" min="8" max="8"/>
  </cols>
  <sheetData>
    <row r="1">
      <c r="A1" s="1" t="inlineStr">
        <is>
          <t>DETALLE DE ABONOS / PAGOS</t>
        </is>
      </c>
    </row>
    <row r="2">
      <c r="A2" s="2" t="inlineStr">
        <is>
          <t>OC</t>
        </is>
      </c>
      <c r="B2" s="2" t="inlineStr">
        <is>
          <t>No. Abono</t>
        </is>
      </c>
      <c r="C2" s="2" t="inlineStr">
        <is>
          <t>Fecha Pago</t>
        </is>
      </c>
      <c r="D2" s="2" t="inlineStr">
        <is>
          <t>Importe</t>
        </is>
      </c>
      <c r="E2" s="2" t="inlineStr">
        <is>
          <t>Método / Ref.</t>
        </is>
      </c>
      <c r="F2" s="2" t="inlineStr">
        <is>
          <t>Estado Pago</t>
        </is>
      </c>
      <c r="G2" s="2" t="inlineStr">
        <is>
          <t>Proveedor</t>
        </is>
      </c>
      <c r="H2" s="2" t="inlineStr">
        <is>
          <t>Comentarios</t>
        </is>
      </c>
    </row>
    <row r="3">
      <c r="A3" s="3" t="inlineStr">
        <is>
          <t>OC-STOCK 5</t>
        </is>
      </c>
      <c r="B3" s="3" t="n">
        <v>1</v>
      </c>
      <c r="C3" s="4" t="n">
        <v>45777</v>
      </c>
      <c r="D3" s="5" t="n">
        <v>122321.63</v>
      </c>
      <c r="E3" s="3" t="inlineStr"/>
      <c r="F3" s="3" t="inlineStr">
        <is>
          <t>Pagado</t>
        </is>
      </c>
      <c r="G3" s="3" t="inlineStr">
        <is>
          <t>Proveedor ejemplo A</t>
        </is>
      </c>
      <c r="H3" s="3" t="inlineStr"/>
    </row>
    <row r="4">
      <c r="A4" s="3" t="inlineStr">
        <is>
          <t>OC-STOCK 5</t>
        </is>
      </c>
      <c r="B4" s="3" t="n">
        <v>2</v>
      </c>
      <c r="C4" s="4" t="n">
        <v>45825</v>
      </c>
      <c r="D4" s="5" t="n">
        <v>300000</v>
      </c>
      <c r="E4" s="3" t="inlineStr"/>
      <c r="F4" s="3" t="inlineStr">
        <is>
          <t>Pagado</t>
        </is>
      </c>
      <c r="G4" s="3" t="inlineStr">
        <is>
          <t>Proveedor ejemplo A</t>
        </is>
      </c>
      <c r="H4" s="3" t="inlineStr"/>
    </row>
    <row r="5">
      <c r="A5" s="3" t="inlineStr">
        <is>
          <t>OC-STOCK 5</t>
        </is>
      </c>
      <c r="B5" s="3" t="n">
        <v>3</v>
      </c>
      <c r="C5" s="4" t="n">
        <v>45926</v>
      </c>
      <c r="D5" s="5" t="n">
        <v>160000</v>
      </c>
      <c r="E5" s="3" t="inlineStr"/>
      <c r="F5" s="3" t="inlineStr">
        <is>
          <t>Pagado</t>
        </is>
      </c>
      <c r="G5" s="3" t="inlineStr">
        <is>
          <t>Proveedor ejemplo A</t>
        </is>
      </c>
      <c r="H5" s="3" t="inlineStr"/>
    </row>
    <row r="6">
      <c r="A6" s="3" t="inlineStr">
        <is>
          <t>OC-STOCK 5</t>
        </is>
      </c>
      <c r="B6" s="3" t="n">
        <v>4</v>
      </c>
      <c r="C6" s="4" t="n">
        <v>45930</v>
      </c>
      <c r="D6" s="5" t="n">
        <v>384828.37</v>
      </c>
      <c r="E6" s="3" t="inlineStr"/>
      <c r="F6" s="3" t="inlineStr">
        <is>
          <t>Pagado</t>
        </is>
      </c>
      <c r="G6" s="3" t="inlineStr">
        <is>
          <t>Proveedor ejemplo A</t>
        </is>
      </c>
      <c r="H6" s="3" t="inlineStr"/>
    </row>
    <row r="7">
      <c r="A7" s="3" t="inlineStr">
        <is>
          <t>OC-2103</t>
        </is>
      </c>
      <c r="B7" s="3" t="n">
        <v>1</v>
      </c>
      <c r="C7" s="4" t="n">
        <v>45688</v>
      </c>
      <c r="D7" s="5" t="n">
        <v>1450000</v>
      </c>
      <c r="E7" s="3" t="inlineStr"/>
      <c r="F7" s="3" t="inlineStr">
        <is>
          <t>Pagado</t>
        </is>
      </c>
      <c r="G7" s="3" t="inlineStr">
        <is>
          <t>Proveedor ejemplo B</t>
        </is>
      </c>
      <c r="H7" s="3" t="inlineStr"/>
    </row>
    <row r="8">
      <c r="A8" s="3" t="inlineStr">
        <is>
          <t>OC-2103</t>
        </is>
      </c>
      <c r="B8" s="3" t="n">
        <v>2</v>
      </c>
      <c r="C8" s="4" t="n">
        <v>45930</v>
      </c>
      <c r="D8" s="5" t="n">
        <v>200000</v>
      </c>
      <c r="E8" s="3" t="inlineStr"/>
      <c r="F8" s="3" t="inlineStr">
        <is>
          <t>Programado</t>
        </is>
      </c>
      <c r="G8" s="3" t="inlineStr">
        <is>
          <t>Proveedor ejemplo B</t>
        </is>
      </c>
      <c r="H8" s="3" t="inlineStr"/>
    </row>
    <row r="9">
      <c r="A9" s="3" t="inlineStr">
        <is>
          <t>OC-2103</t>
        </is>
      </c>
      <c r="B9" s="3" t="n">
        <v>3</v>
      </c>
      <c r="C9" s="4" t="n">
        <v>45939</v>
      </c>
      <c r="D9" s="5" t="n">
        <v>210000</v>
      </c>
      <c r="E9" s="3" t="inlineStr"/>
      <c r="F9" s="3" t="inlineStr">
        <is>
          <t>Programado</t>
        </is>
      </c>
      <c r="G9" s="3" t="inlineStr">
        <is>
          <t>Proveedor ejemplo B</t>
        </is>
      </c>
      <c r="H9" s="3" t="inlineStr"/>
    </row>
    <row r="10">
      <c r="A10" s="3" t="inlineStr">
        <is>
          <t>OC-2103</t>
        </is>
      </c>
      <c r="B10" s="3" t="n">
        <v>4</v>
      </c>
      <c r="C10" s="4" t="n">
        <v>45943</v>
      </c>
      <c r="D10" s="5" t="n">
        <v>500000</v>
      </c>
      <c r="E10" s="3" t="inlineStr"/>
      <c r="F10" s="3" t="inlineStr">
        <is>
          <t>Programado</t>
        </is>
      </c>
      <c r="G10" s="3" t="inlineStr">
        <is>
          <t>Proveedor ejemplo B</t>
        </is>
      </c>
      <c r="H10" s="3" t="inlineStr"/>
    </row>
    <row r="11">
      <c r="A11" s="3" t="inlineStr">
        <is>
          <t>OC-2103</t>
        </is>
      </c>
      <c r="B11" s="3" t="n">
        <v>5</v>
      </c>
      <c r="C11" s="4" t="n">
        <v>45989</v>
      </c>
      <c r="D11" s="5" t="n">
        <v>200000</v>
      </c>
      <c r="E11" s="3" t="inlineStr"/>
      <c r="F11" s="3" t="inlineStr">
        <is>
          <t>Programado</t>
        </is>
      </c>
      <c r="G11" s="3" t="inlineStr">
        <is>
          <t>Proveedor ejemplo B</t>
        </is>
      </c>
      <c r="H11" s="3" t="inlineStr">
        <is>
          <t>50000</t>
        </is>
      </c>
    </row>
    <row r="12">
      <c r="A12" s="3" t="n"/>
      <c r="B12" s="3" t="n"/>
      <c r="C12" s="4" t="n"/>
      <c r="D12" s="5" t="n"/>
      <c r="E12" s="3" t="n"/>
      <c r="F12" s="3" t="n"/>
      <c r="G12" s="3" t="n"/>
      <c r="H12" s="3" t="n"/>
    </row>
    <row r="13">
      <c r="A13" s="3" t="n"/>
      <c r="B13" s="3" t="n"/>
      <c r="C13" s="4" t="n"/>
      <c r="D13" s="5" t="n"/>
      <c r="E13" s="3" t="n"/>
      <c r="F13" s="3" t="n"/>
      <c r="G13" s="3" t="n"/>
      <c r="H13" s="3" t="n"/>
    </row>
    <row r="14">
      <c r="A14" s="3" t="n"/>
      <c r="B14" s="3" t="n"/>
      <c r="C14" s="4" t="n"/>
      <c r="D14" s="5" t="n"/>
      <c r="E14" s="3" t="n"/>
      <c r="F14" s="3" t="n"/>
      <c r="G14" s="3" t="n"/>
      <c r="H14" s="3" t="n"/>
    </row>
    <row r="15">
      <c r="A15" s="3" t="n"/>
      <c r="B15" s="3" t="n"/>
      <c r="C15" s="4" t="n"/>
      <c r="D15" s="5" t="n"/>
      <c r="E15" s="3" t="n"/>
      <c r="F15" s="3" t="n"/>
      <c r="G15" s="3" t="n"/>
      <c r="H15" s="3" t="n"/>
    </row>
    <row r="16">
      <c r="A16" s="3" t="n"/>
      <c r="B16" s="3" t="n"/>
      <c r="C16" s="4" t="n"/>
      <c r="D16" s="5" t="n"/>
      <c r="E16" s="3" t="n"/>
      <c r="F16" s="3" t="n"/>
      <c r="G16" s="3" t="n"/>
      <c r="H16" s="3" t="n"/>
    </row>
    <row r="17">
      <c r="A17" s="3" t="n"/>
      <c r="B17" s="3" t="n"/>
      <c r="C17" s="4" t="n"/>
      <c r="D17" s="5" t="n"/>
      <c r="E17" s="3" t="n"/>
      <c r="F17" s="3" t="n"/>
      <c r="G17" s="3" t="n"/>
      <c r="H17" s="3" t="n"/>
    </row>
    <row r="18">
      <c r="A18" s="3" t="n"/>
      <c r="B18" s="3" t="n"/>
      <c r="C18" s="4" t="n"/>
      <c r="D18" s="5" t="n"/>
      <c r="E18" s="3" t="n"/>
      <c r="F18" s="3" t="n"/>
      <c r="G18" s="3" t="n"/>
      <c r="H18" s="3" t="n"/>
    </row>
    <row r="19">
      <c r="A19" s="3" t="n"/>
      <c r="B19" s="3" t="n"/>
      <c r="C19" s="4" t="n"/>
      <c r="D19" s="5" t="n"/>
      <c r="E19" s="3" t="n"/>
      <c r="F19" s="3" t="n"/>
      <c r="G19" s="3" t="n"/>
      <c r="H19" s="3" t="n"/>
    </row>
    <row r="20">
      <c r="A20" s="3" t="n"/>
      <c r="B20" s="3" t="n"/>
      <c r="C20" s="4" t="n"/>
      <c r="D20" s="5" t="n"/>
      <c r="E20" s="3" t="n"/>
      <c r="F20" s="3" t="n"/>
      <c r="G20" s="3" t="n"/>
      <c r="H20" s="3" t="n"/>
    </row>
    <row r="21">
      <c r="A21" s="3" t="n"/>
      <c r="B21" s="3" t="n"/>
      <c r="C21" s="4" t="n"/>
      <c r="D21" s="5" t="n"/>
      <c r="E21" s="3" t="n"/>
      <c r="F21" s="3" t="n"/>
      <c r="G21" s="3" t="n"/>
      <c r="H21" s="3" t="n"/>
    </row>
    <row r="22">
      <c r="A22" s="3" t="n"/>
      <c r="B22" s="3" t="n"/>
      <c r="C22" s="4" t="n"/>
      <c r="D22" s="5" t="n"/>
      <c r="E22" s="3" t="n"/>
      <c r="F22" s="3" t="n"/>
      <c r="G22" s="3" t="n"/>
      <c r="H22" s="3" t="n"/>
    </row>
    <row r="23">
      <c r="A23" s="3" t="n"/>
      <c r="B23" s="3" t="n"/>
      <c r="C23" s="4" t="n"/>
      <c r="D23" s="5" t="n"/>
      <c r="E23" s="3" t="n"/>
      <c r="F23" s="3" t="n"/>
      <c r="G23" s="3" t="n"/>
      <c r="H23" s="3" t="n"/>
    </row>
    <row r="24">
      <c r="A24" s="3" t="n"/>
      <c r="B24" s="3" t="n"/>
      <c r="C24" s="4" t="n"/>
      <c r="D24" s="5" t="n"/>
      <c r="E24" s="3" t="n"/>
      <c r="F24" s="3" t="n"/>
      <c r="G24" s="3" t="n"/>
      <c r="H24" s="3" t="n"/>
    </row>
    <row r="25">
      <c r="A25" s="3" t="n"/>
      <c r="B25" s="3" t="n"/>
      <c r="C25" s="4" t="n"/>
      <c r="D25" s="5" t="n"/>
      <c r="E25" s="3" t="n"/>
      <c r="F25" s="3" t="n"/>
      <c r="G25" s="3" t="n"/>
      <c r="H25" s="3" t="n"/>
    </row>
    <row r="26">
      <c r="A26" s="3" t="n"/>
      <c r="B26" s="3" t="n"/>
      <c r="C26" s="4" t="n"/>
      <c r="D26" s="5" t="n"/>
      <c r="E26" s="3" t="n"/>
      <c r="F26" s="3" t="n"/>
      <c r="G26" s="3" t="n"/>
      <c r="H26" s="3" t="n"/>
    </row>
    <row r="27">
      <c r="A27" s="3" t="n"/>
      <c r="B27" s="3" t="n"/>
      <c r="C27" s="4" t="n"/>
      <c r="D27" s="5" t="n"/>
      <c r="E27" s="3" t="n"/>
      <c r="F27" s="3" t="n"/>
      <c r="G27" s="3" t="n"/>
      <c r="H27" s="3" t="n"/>
    </row>
    <row r="28">
      <c r="A28" s="3" t="n"/>
      <c r="B28" s="3" t="n"/>
      <c r="C28" s="4" t="n"/>
      <c r="D28" s="5" t="n"/>
      <c r="E28" s="3" t="n"/>
      <c r="F28" s="3" t="n"/>
      <c r="G28" s="3" t="n"/>
      <c r="H28" s="3" t="n"/>
    </row>
    <row r="29">
      <c r="A29" s="3" t="n"/>
      <c r="B29" s="3" t="n"/>
      <c r="C29" s="4" t="n"/>
      <c r="D29" s="5" t="n"/>
      <c r="E29" s="3" t="n"/>
      <c r="F29" s="3" t="n"/>
      <c r="G29" s="3" t="n"/>
      <c r="H29" s="3" t="n"/>
    </row>
    <row r="30">
      <c r="A30" s="3" t="n"/>
      <c r="B30" s="3" t="n"/>
      <c r="C30" s="4" t="n"/>
      <c r="D30" s="5" t="n"/>
      <c r="E30" s="3" t="n"/>
      <c r="F30" s="3" t="n"/>
      <c r="G30" s="3" t="n"/>
      <c r="H30" s="3" t="n"/>
    </row>
    <row r="31">
      <c r="A31" s="3" t="n"/>
      <c r="B31" s="3" t="n"/>
      <c r="C31" s="4" t="n"/>
      <c r="D31" s="5" t="n"/>
      <c r="E31" s="3" t="n"/>
      <c r="F31" s="3" t="n"/>
      <c r="G31" s="3" t="n"/>
      <c r="H31" s="3" t="n"/>
    </row>
    <row r="32">
      <c r="A32" s="3" t="n"/>
      <c r="B32" s="3" t="n"/>
      <c r="C32" s="4" t="n"/>
      <c r="D32" s="5" t="n"/>
      <c r="E32" s="3" t="n"/>
      <c r="F32" s="3" t="n"/>
      <c r="G32" s="3" t="n"/>
      <c r="H32" s="3" t="n"/>
    </row>
    <row r="33">
      <c r="A33" s="3" t="n"/>
      <c r="B33" s="3" t="n"/>
      <c r="C33" s="4" t="n"/>
      <c r="D33" s="5" t="n"/>
      <c r="E33" s="3" t="n"/>
      <c r="F33" s="3" t="n"/>
      <c r="G33" s="3" t="n"/>
      <c r="H33" s="3" t="n"/>
    </row>
    <row r="34">
      <c r="A34" s="3" t="n"/>
      <c r="B34" s="3" t="n"/>
      <c r="C34" s="4" t="n"/>
      <c r="D34" s="5" t="n"/>
      <c r="E34" s="3" t="n"/>
      <c r="F34" s="3" t="n"/>
      <c r="G34" s="3" t="n"/>
      <c r="H34" s="3" t="n"/>
    </row>
    <row r="35">
      <c r="A35" s="3" t="n"/>
      <c r="B35" s="3" t="n"/>
      <c r="C35" s="4" t="n"/>
      <c r="D35" s="5" t="n"/>
      <c r="E35" s="3" t="n"/>
      <c r="F35" s="3" t="n"/>
      <c r="G35" s="3" t="n"/>
      <c r="H35" s="3" t="n"/>
    </row>
    <row r="36">
      <c r="A36" s="3" t="n"/>
      <c r="B36" s="3" t="n"/>
      <c r="C36" s="4" t="n"/>
      <c r="D36" s="5" t="n"/>
      <c r="E36" s="3" t="n"/>
      <c r="F36" s="3" t="n"/>
      <c r="G36" s="3" t="n"/>
      <c r="H36" s="3" t="n"/>
    </row>
    <row r="37">
      <c r="A37" s="3" t="n"/>
      <c r="B37" s="3" t="n"/>
      <c r="C37" s="4" t="n"/>
      <c r="D37" s="5" t="n"/>
      <c r="E37" s="3" t="n"/>
      <c r="F37" s="3" t="n"/>
      <c r="G37" s="3" t="n"/>
      <c r="H37" s="3" t="n"/>
    </row>
    <row r="38">
      <c r="A38" s="3" t="n"/>
      <c r="B38" s="3" t="n"/>
      <c r="C38" s="4" t="n"/>
      <c r="D38" s="5" t="n"/>
      <c r="E38" s="3" t="n"/>
      <c r="F38" s="3" t="n"/>
      <c r="G38" s="3" t="n"/>
      <c r="H38" s="3" t="n"/>
    </row>
    <row r="39">
      <c r="A39" s="3" t="n"/>
      <c r="B39" s="3" t="n"/>
      <c r="C39" s="4" t="n"/>
      <c r="D39" s="5" t="n"/>
      <c r="E39" s="3" t="n"/>
      <c r="F39" s="3" t="n"/>
      <c r="G39" s="3" t="n"/>
      <c r="H39" s="3" t="n"/>
    </row>
    <row r="40">
      <c r="A40" s="3" t="n"/>
      <c r="B40" s="3" t="n"/>
      <c r="C40" s="4" t="n"/>
      <c r="D40" s="5" t="n"/>
      <c r="E40" s="3" t="n"/>
      <c r="F40" s="3" t="n"/>
      <c r="G40" s="3" t="n"/>
      <c r="H40" s="3" t="n"/>
    </row>
    <row r="41">
      <c r="A41" s="3" t="n"/>
      <c r="B41" s="3" t="n"/>
      <c r="C41" s="4" t="n"/>
      <c r="D41" s="5" t="n"/>
      <c r="E41" s="3" t="n"/>
      <c r="F41" s="3" t="n"/>
      <c r="G41" s="3" t="n"/>
      <c r="H41" s="3" t="n"/>
    </row>
    <row r="42">
      <c r="A42" s="3" t="n"/>
      <c r="B42" s="3" t="n"/>
      <c r="C42" s="4" t="n"/>
      <c r="D42" s="5" t="n"/>
      <c r="E42" s="3" t="n"/>
      <c r="F42" s="3" t="n"/>
      <c r="G42" s="3" t="n"/>
      <c r="H42" s="3" t="n"/>
    </row>
    <row r="43">
      <c r="A43" s="3" t="n"/>
      <c r="B43" s="3" t="n"/>
      <c r="C43" s="4" t="n"/>
      <c r="D43" s="5" t="n"/>
      <c r="E43" s="3" t="n"/>
      <c r="F43" s="3" t="n"/>
      <c r="G43" s="3" t="n"/>
      <c r="H43" s="3" t="n"/>
    </row>
    <row r="44">
      <c r="A44" s="3" t="n"/>
      <c r="B44" s="3" t="n"/>
      <c r="C44" s="4" t="n"/>
      <c r="D44" s="5" t="n"/>
      <c r="E44" s="3" t="n"/>
      <c r="F44" s="3" t="n"/>
      <c r="G44" s="3" t="n"/>
      <c r="H44" s="3" t="n"/>
    </row>
    <row r="45">
      <c r="A45" s="3" t="n"/>
      <c r="B45" s="3" t="n"/>
      <c r="C45" s="4" t="n"/>
      <c r="D45" s="5" t="n"/>
      <c r="E45" s="3" t="n"/>
      <c r="F45" s="3" t="n"/>
      <c r="G45" s="3" t="n"/>
      <c r="H45" s="3" t="n"/>
    </row>
    <row r="46">
      <c r="A46" s="3" t="n"/>
      <c r="B46" s="3" t="n"/>
      <c r="C46" s="4" t="n"/>
      <c r="D46" s="5" t="n"/>
      <c r="E46" s="3" t="n"/>
      <c r="F46" s="3" t="n"/>
      <c r="G46" s="3" t="n"/>
      <c r="H46" s="3" t="n"/>
    </row>
    <row r="47">
      <c r="A47" s="3" t="n"/>
      <c r="B47" s="3" t="n"/>
      <c r="C47" s="4" t="n"/>
      <c r="D47" s="5" t="n"/>
      <c r="E47" s="3" t="n"/>
      <c r="F47" s="3" t="n"/>
      <c r="G47" s="3" t="n"/>
      <c r="H47" s="3" t="n"/>
    </row>
    <row r="48">
      <c r="A48" s="3" t="n"/>
      <c r="B48" s="3" t="n"/>
      <c r="C48" s="4" t="n"/>
      <c r="D48" s="5" t="n"/>
      <c r="E48" s="3" t="n"/>
      <c r="F48" s="3" t="n"/>
      <c r="G48" s="3" t="n"/>
      <c r="H48" s="3" t="n"/>
    </row>
    <row r="49">
      <c r="A49" s="3" t="n"/>
      <c r="B49" s="3" t="n"/>
      <c r="C49" s="4" t="n"/>
      <c r="D49" s="5" t="n"/>
      <c r="E49" s="3" t="n"/>
      <c r="F49" s="3" t="n"/>
      <c r="G49" s="3" t="n"/>
      <c r="H49" s="3" t="n"/>
    </row>
    <row r="50">
      <c r="A50" s="3" t="n"/>
      <c r="B50" s="3" t="n"/>
      <c r="C50" s="4" t="n"/>
      <c r="D50" s="5" t="n"/>
      <c r="E50" s="3" t="n"/>
      <c r="F50" s="3" t="n"/>
      <c r="G50" s="3" t="n"/>
      <c r="H50" s="3" t="n"/>
    </row>
    <row r="51">
      <c r="A51" s="3" t="n"/>
      <c r="B51" s="3" t="n"/>
      <c r="C51" s="4" t="n"/>
      <c r="D51" s="5" t="n"/>
      <c r="E51" s="3" t="n"/>
      <c r="F51" s="3" t="n"/>
      <c r="G51" s="3" t="n"/>
      <c r="H51" s="3" t="n"/>
    </row>
    <row r="52">
      <c r="A52" s="3" t="n"/>
      <c r="B52" s="3" t="n"/>
      <c r="C52" s="4" t="n"/>
      <c r="D52" s="5" t="n"/>
      <c r="E52" s="3" t="n"/>
      <c r="F52" s="3" t="n"/>
      <c r="G52" s="3" t="n"/>
      <c r="H52" s="3" t="n"/>
    </row>
    <row r="53">
      <c r="A53" s="3" t="n"/>
      <c r="B53" s="3" t="n"/>
      <c r="C53" s="4" t="n"/>
      <c r="D53" s="5" t="n"/>
      <c r="E53" s="3" t="n"/>
      <c r="F53" s="3" t="n"/>
      <c r="G53" s="3" t="n"/>
      <c r="H53" s="3" t="n"/>
    </row>
    <row r="54">
      <c r="A54" s="3" t="n"/>
      <c r="B54" s="3" t="n"/>
      <c r="C54" s="4" t="n"/>
      <c r="D54" s="5" t="n"/>
      <c r="E54" s="3" t="n"/>
      <c r="F54" s="3" t="n"/>
      <c r="G54" s="3" t="n"/>
      <c r="H54" s="3" t="n"/>
    </row>
    <row r="55">
      <c r="A55" s="3" t="n"/>
      <c r="B55" s="3" t="n"/>
      <c r="C55" s="4" t="n"/>
      <c r="D55" s="5" t="n"/>
      <c r="E55" s="3" t="n"/>
      <c r="F55" s="3" t="n"/>
      <c r="G55" s="3" t="n"/>
      <c r="H55" s="3" t="n"/>
    </row>
    <row r="56">
      <c r="A56" s="3" t="n"/>
      <c r="B56" s="3" t="n"/>
      <c r="C56" s="4" t="n"/>
      <c r="D56" s="5" t="n"/>
      <c r="E56" s="3" t="n"/>
      <c r="F56" s="3" t="n"/>
      <c r="G56" s="3" t="n"/>
      <c r="H56" s="3" t="n"/>
    </row>
    <row r="57">
      <c r="A57" s="3" t="n"/>
      <c r="B57" s="3" t="n"/>
      <c r="C57" s="4" t="n"/>
      <c r="D57" s="5" t="n"/>
      <c r="E57" s="3" t="n"/>
      <c r="F57" s="3" t="n"/>
      <c r="G57" s="3" t="n"/>
      <c r="H57" s="3" t="n"/>
    </row>
    <row r="58">
      <c r="A58" s="3" t="n"/>
      <c r="B58" s="3" t="n"/>
      <c r="C58" s="4" t="n"/>
      <c r="D58" s="5" t="n"/>
      <c r="E58" s="3" t="n"/>
      <c r="F58" s="3" t="n"/>
      <c r="G58" s="3" t="n"/>
      <c r="H58" s="3" t="n"/>
    </row>
    <row r="59">
      <c r="A59" s="3" t="n"/>
      <c r="B59" s="3" t="n"/>
      <c r="C59" s="4" t="n"/>
      <c r="D59" s="5" t="n"/>
      <c r="E59" s="3" t="n"/>
      <c r="F59" s="3" t="n"/>
      <c r="G59" s="3" t="n"/>
      <c r="H59" s="3" t="n"/>
    </row>
    <row r="60">
      <c r="A60" s="3" t="n"/>
      <c r="B60" s="3" t="n"/>
      <c r="C60" s="4" t="n"/>
      <c r="D60" s="5" t="n"/>
      <c r="E60" s="3" t="n"/>
      <c r="F60" s="3" t="n"/>
      <c r="G60" s="3" t="n"/>
      <c r="H60" s="3" t="n"/>
    </row>
    <row r="61">
      <c r="A61" s="3" t="n"/>
      <c r="B61" s="3" t="n"/>
      <c r="C61" s="4" t="n"/>
      <c r="D61" s="5" t="n"/>
      <c r="E61" s="3" t="n"/>
      <c r="F61" s="3" t="n"/>
      <c r="G61" s="3" t="n"/>
      <c r="H61" s="3" t="n"/>
    </row>
    <row r="62">
      <c r="A62" s="3" t="n"/>
      <c r="B62" s="3" t="n"/>
      <c r="C62" s="4" t="n"/>
      <c r="D62" s="5" t="n"/>
      <c r="E62" s="3" t="n"/>
      <c r="F62" s="3" t="n"/>
      <c r="G62" s="3" t="n"/>
      <c r="H62" s="3" t="n"/>
    </row>
    <row r="63">
      <c r="A63" s="3" t="n"/>
      <c r="B63" s="3" t="n"/>
      <c r="C63" s="4" t="n"/>
      <c r="D63" s="5" t="n"/>
      <c r="E63" s="3" t="n"/>
      <c r="F63" s="3" t="n"/>
      <c r="G63" s="3" t="n"/>
      <c r="H63" s="3" t="n"/>
    </row>
    <row r="64">
      <c r="A64" s="3" t="n"/>
      <c r="B64" s="3" t="n"/>
      <c r="C64" s="4" t="n"/>
      <c r="D64" s="5" t="n"/>
      <c r="E64" s="3" t="n"/>
      <c r="F64" s="3" t="n"/>
      <c r="G64" s="3" t="n"/>
      <c r="H64" s="3" t="n"/>
    </row>
    <row r="65">
      <c r="A65" s="3" t="n"/>
      <c r="B65" s="3" t="n"/>
      <c r="C65" s="4" t="n"/>
      <c r="D65" s="5" t="n"/>
      <c r="E65" s="3" t="n"/>
      <c r="F65" s="3" t="n"/>
      <c r="G65" s="3" t="n"/>
      <c r="H65" s="3" t="n"/>
    </row>
    <row r="66">
      <c r="A66" s="3" t="n"/>
      <c r="B66" s="3" t="n"/>
      <c r="C66" s="4" t="n"/>
      <c r="D66" s="5" t="n"/>
      <c r="E66" s="3" t="n"/>
      <c r="F66" s="3" t="n"/>
      <c r="G66" s="3" t="n"/>
      <c r="H66" s="3" t="n"/>
    </row>
    <row r="67">
      <c r="A67" s="3" t="n"/>
      <c r="B67" s="3" t="n"/>
      <c r="C67" s="4" t="n"/>
      <c r="D67" s="5" t="n"/>
      <c r="E67" s="3" t="n"/>
      <c r="F67" s="3" t="n"/>
      <c r="G67" s="3" t="n"/>
      <c r="H67" s="3" t="n"/>
    </row>
    <row r="68">
      <c r="A68" s="3" t="n"/>
      <c r="B68" s="3" t="n"/>
      <c r="C68" s="4" t="n"/>
      <c r="D68" s="5" t="n"/>
      <c r="E68" s="3" t="n"/>
      <c r="F68" s="3" t="n"/>
      <c r="G68" s="3" t="n"/>
      <c r="H68" s="3" t="n"/>
    </row>
    <row r="69">
      <c r="A69" s="3" t="n"/>
      <c r="B69" s="3" t="n"/>
      <c r="C69" s="4" t="n"/>
      <c r="D69" s="5" t="n"/>
      <c r="E69" s="3" t="n"/>
      <c r="F69" s="3" t="n"/>
      <c r="G69" s="3" t="n"/>
      <c r="H69" s="3" t="n"/>
    </row>
    <row r="70">
      <c r="A70" s="3" t="n"/>
      <c r="B70" s="3" t="n"/>
      <c r="C70" s="4" t="n"/>
      <c r="D70" s="5" t="n"/>
      <c r="E70" s="3" t="n"/>
      <c r="F70" s="3" t="n"/>
      <c r="G70" s="3" t="n"/>
      <c r="H70" s="3" t="n"/>
    </row>
    <row r="71">
      <c r="A71" s="3" t="n"/>
      <c r="B71" s="3" t="n"/>
      <c r="C71" s="4" t="n"/>
      <c r="D71" s="5" t="n"/>
      <c r="E71" s="3" t="n"/>
      <c r="F71" s="3" t="n"/>
      <c r="G71" s="3" t="n"/>
      <c r="H71" s="3" t="n"/>
    </row>
    <row r="72">
      <c r="A72" s="3" t="n"/>
      <c r="B72" s="3" t="n"/>
      <c r="C72" s="4" t="n"/>
      <c r="D72" s="5" t="n"/>
      <c r="E72" s="3" t="n"/>
      <c r="F72" s="3" t="n"/>
      <c r="G72" s="3" t="n"/>
      <c r="H72" s="3" t="n"/>
    </row>
    <row r="73">
      <c r="A73" s="3" t="n"/>
      <c r="B73" s="3" t="n"/>
      <c r="C73" s="4" t="n"/>
      <c r="D73" s="5" t="n"/>
      <c r="E73" s="3" t="n"/>
      <c r="F73" s="3" t="n"/>
      <c r="G73" s="3" t="n"/>
      <c r="H73" s="3" t="n"/>
    </row>
    <row r="74">
      <c r="A74" s="3" t="n"/>
      <c r="B74" s="3" t="n"/>
      <c r="C74" s="4" t="n"/>
      <c r="D74" s="5" t="n"/>
      <c r="E74" s="3" t="n"/>
      <c r="F74" s="3" t="n"/>
      <c r="G74" s="3" t="n"/>
      <c r="H74" s="3" t="n"/>
    </row>
    <row r="75">
      <c r="A75" s="3" t="n"/>
      <c r="B75" s="3" t="n"/>
      <c r="C75" s="4" t="n"/>
      <c r="D75" s="5" t="n"/>
      <c r="E75" s="3" t="n"/>
      <c r="F75" s="3" t="n"/>
      <c r="G75" s="3" t="n"/>
      <c r="H75" s="3" t="n"/>
    </row>
    <row r="76">
      <c r="A76" s="3" t="n"/>
      <c r="B76" s="3" t="n"/>
      <c r="C76" s="4" t="n"/>
      <c r="D76" s="5" t="n"/>
      <c r="E76" s="3" t="n"/>
      <c r="F76" s="3" t="n"/>
      <c r="G76" s="3" t="n"/>
      <c r="H76" s="3" t="n"/>
    </row>
    <row r="77">
      <c r="A77" s="3" t="n"/>
      <c r="B77" s="3" t="n"/>
      <c r="C77" s="4" t="n"/>
      <c r="D77" s="5" t="n"/>
      <c r="E77" s="3" t="n"/>
      <c r="F77" s="3" t="n"/>
      <c r="G77" s="3" t="n"/>
      <c r="H77" s="3" t="n"/>
    </row>
    <row r="78">
      <c r="A78" s="3" t="n"/>
      <c r="B78" s="3" t="n"/>
      <c r="C78" s="4" t="n"/>
      <c r="D78" s="5" t="n"/>
      <c r="E78" s="3" t="n"/>
      <c r="F78" s="3" t="n"/>
      <c r="G78" s="3" t="n"/>
      <c r="H78" s="3" t="n"/>
    </row>
    <row r="79">
      <c r="A79" s="3" t="n"/>
      <c r="B79" s="3" t="n"/>
      <c r="C79" s="4" t="n"/>
      <c r="D79" s="5" t="n"/>
      <c r="E79" s="3" t="n"/>
      <c r="F79" s="3" t="n"/>
      <c r="G79" s="3" t="n"/>
      <c r="H79" s="3" t="n"/>
    </row>
    <row r="80">
      <c r="A80" s="3" t="n"/>
      <c r="B80" s="3" t="n"/>
      <c r="C80" s="4" t="n"/>
      <c r="D80" s="5" t="n"/>
      <c r="E80" s="3" t="n"/>
      <c r="F80" s="3" t="n"/>
      <c r="G80" s="3" t="n"/>
      <c r="H80" s="3" t="n"/>
    </row>
    <row r="81">
      <c r="A81" s="3" t="n"/>
      <c r="B81" s="3" t="n"/>
      <c r="C81" s="4" t="n"/>
      <c r="D81" s="5" t="n"/>
      <c r="E81" s="3" t="n"/>
      <c r="F81" s="3" t="n"/>
      <c r="G81" s="3" t="n"/>
      <c r="H81" s="3" t="n"/>
    </row>
    <row r="82">
      <c r="A82" s="3" t="n"/>
      <c r="B82" s="3" t="n"/>
      <c r="C82" s="4" t="n"/>
      <c r="D82" s="5" t="n"/>
      <c r="E82" s="3" t="n"/>
      <c r="F82" s="3" t="n"/>
      <c r="G82" s="3" t="n"/>
      <c r="H82" s="3" t="n"/>
    </row>
    <row r="83">
      <c r="A83" s="3" t="n"/>
      <c r="B83" s="3" t="n"/>
      <c r="C83" s="4" t="n"/>
      <c r="D83" s="5" t="n"/>
      <c r="E83" s="3" t="n"/>
      <c r="F83" s="3" t="n"/>
      <c r="G83" s="3" t="n"/>
      <c r="H83" s="3" t="n"/>
    </row>
    <row r="84">
      <c r="A84" s="3" t="n"/>
      <c r="B84" s="3" t="n"/>
      <c r="C84" s="4" t="n"/>
      <c r="D84" s="5" t="n"/>
      <c r="E84" s="3" t="n"/>
      <c r="F84" s="3" t="n"/>
      <c r="G84" s="3" t="n"/>
      <c r="H84" s="3" t="n"/>
    </row>
    <row r="85">
      <c r="A85" s="3" t="n"/>
      <c r="B85" s="3" t="n"/>
      <c r="C85" s="4" t="n"/>
      <c r="D85" s="5" t="n"/>
      <c r="E85" s="3" t="n"/>
      <c r="F85" s="3" t="n"/>
      <c r="G85" s="3" t="n"/>
      <c r="H85" s="3" t="n"/>
    </row>
    <row r="86">
      <c r="A86" s="3" t="n"/>
      <c r="B86" s="3" t="n"/>
      <c r="C86" s="4" t="n"/>
      <c r="D86" s="5" t="n"/>
      <c r="E86" s="3" t="n"/>
      <c r="F86" s="3" t="n"/>
      <c r="G86" s="3" t="n"/>
      <c r="H86" s="3" t="n"/>
    </row>
    <row r="87">
      <c r="A87" s="3" t="n"/>
      <c r="B87" s="3" t="n"/>
      <c r="C87" s="4" t="n"/>
      <c r="D87" s="5" t="n"/>
      <c r="E87" s="3" t="n"/>
      <c r="F87" s="3" t="n"/>
      <c r="G87" s="3" t="n"/>
      <c r="H87" s="3" t="n"/>
    </row>
    <row r="88">
      <c r="A88" s="3" t="n"/>
      <c r="B88" s="3" t="n"/>
      <c r="C88" s="4" t="n"/>
      <c r="D88" s="5" t="n"/>
      <c r="E88" s="3" t="n"/>
      <c r="F88" s="3" t="n"/>
      <c r="G88" s="3" t="n"/>
      <c r="H88" s="3" t="n"/>
    </row>
    <row r="89">
      <c r="A89" s="3" t="n"/>
      <c r="B89" s="3" t="n"/>
      <c r="C89" s="4" t="n"/>
      <c r="D89" s="5" t="n"/>
      <c r="E89" s="3" t="n"/>
      <c r="F89" s="3" t="n"/>
      <c r="G89" s="3" t="n"/>
      <c r="H89" s="3" t="n"/>
    </row>
    <row r="90">
      <c r="A90" s="3" t="n"/>
      <c r="B90" s="3" t="n"/>
      <c r="C90" s="4" t="n"/>
      <c r="D90" s="5" t="n"/>
      <c r="E90" s="3" t="n"/>
      <c r="F90" s="3" t="n"/>
      <c r="G90" s="3" t="n"/>
      <c r="H90" s="3" t="n"/>
    </row>
    <row r="91">
      <c r="A91" s="3" t="n"/>
      <c r="B91" s="3" t="n"/>
      <c r="C91" s="4" t="n"/>
      <c r="D91" s="5" t="n"/>
      <c r="E91" s="3" t="n"/>
      <c r="F91" s="3" t="n"/>
      <c r="G91" s="3" t="n"/>
      <c r="H91" s="3" t="n"/>
    </row>
    <row r="92">
      <c r="A92" s="3" t="n"/>
      <c r="B92" s="3" t="n"/>
      <c r="C92" s="4" t="n"/>
      <c r="D92" s="5" t="n"/>
      <c r="E92" s="3" t="n"/>
      <c r="F92" s="3" t="n"/>
      <c r="G92" s="3" t="n"/>
      <c r="H92" s="3" t="n"/>
    </row>
    <row r="93">
      <c r="A93" s="3" t="n"/>
      <c r="B93" s="3" t="n"/>
      <c r="C93" s="4" t="n"/>
      <c r="D93" s="5" t="n"/>
      <c r="E93" s="3" t="n"/>
      <c r="F93" s="3" t="n"/>
      <c r="G93" s="3" t="n"/>
      <c r="H93" s="3" t="n"/>
    </row>
    <row r="94">
      <c r="A94" s="3" t="n"/>
      <c r="B94" s="3" t="n"/>
      <c r="C94" s="4" t="n"/>
      <c r="D94" s="5" t="n"/>
      <c r="E94" s="3" t="n"/>
      <c r="F94" s="3" t="n"/>
      <c r="G94" s="3" t="n"/>
      <c r="H94" s="3" t="n"/>
    </row>
    <row r="95">
      <c r="A95" s="3" t="n"/>
      <c r="B95" s="3" t="n"/>
      <c r="C95" s="4" t="n"/>
      <c r="D95" s="5" t="n"/>
      <c r="E95" s="3" t="n"/>
      <c r="F95" s="3" t="n"/>
      <c r="G95" s="3" t="n"/>
      <c r="H95" s="3" t="n"/>
    </row>
    <row r="96">
      <c r="A96" s="3" t="n"/>
      <c r="B96" s="3" t="n"/>
      <c r="C96" s="4" t="n"/>
      <c r="D96" s="5" t="n"/>
      <c r="E96" s="3" t="n"/>
      <c r="F96" s="3" t="n"/>
      <c r="G96" s="3" t="n"/>
      <c r="H96" s="3" t="n"/>
    </row>
    <row r="97">
      <c r="A97" s="3" t="n"/>
      <c r="B97" s="3" t="n"/>
      <c r="C97" s="4" t="n"/>
      <c r="D97" s="5" t="n"/>
      <c r="E97" s="3" t="n"/>
      <c r="F97" s="3" t="n"/>
      <c r="G97" s="3" t="n"/>
      <c r="H97" s="3" t="n"/>
    </row>
    <row r="98">
      <c r="A98" s="3" t="n"/>
      <c r="B98" s="3" t="n"/>
      <c r="C98" s="4" t="n"/>
      <c r="D98" s="5" t="n"/>
      <c r="E98" s="3" t="n"/>
      <c r="F98" s="3" t="n"/>
      <c r="G98" s="3" t="n"/>
      <c r="H98" s="3" t="n"/>
    </row>
    <row r="99">
      <c r="A99" s="3" t="n"/>
      <c r="B99" s="3" t="n"/>
      <c r="C99" s="4" t="n"/>
      <c r="D99" s="5" t="n"/>
      <c r="E99" s="3" t="n"/>
      <c r="F99" s="3" t="n"/>
      <c r="G99" s="3" t="n"/>
      <c r="H99" s="3" t="n"/>
    </row>
    <row r="100">
      <c r="A100" s="3" t="n"/>
      <c r="B100" s="3" t="n"/>
      <c r="C100" s="4" t="n"/>
      <c r="D100" s="5" t="n"/>
      <c r="E100" s="3" t="n"/>
      <c r="F100" s="3" t="n"/>
      <c r="G100" s="3" t="n"/>
      <c r="H100" s="3" t="n"/>
    </row>
    <row r="101">
      <c r="A101" s="3" t="n"/>
      <c r="B101" s="3" t="n"/>
      <c r="C101" s="4" t="n"/>
      <c r="D101" s="5" t="n"/>
      <c r="E101" s="3" t="n"/>
      <c r="F101" s="3" t="n"/>
      <c r="G101" s="3" t="n"/>
      <c r="H101" s="3" t="n"/>
    </row>
    <row r="102">
      <c r="A102" s="3" t="n"/>
      <c r="B102" s="3" t="n"/>
      <c r="C102" s="4" t="n"/>
      <c r="D102" s="5" t="n"/>
      <c r="E102" s="3" t="n"/>
      <c r="F102" s="3" t="n"/>
      <c r="G102" s="3" t="n"/>
      <c r="H102" s="3" t="n"/>
    </row>
    <row r="103">
      <c r="A103" s="3" t="n"/>
      <c r="B103" s="3" t="n"/>
      <c r="C103" s="4" t="n"/>
      <c r="D103" s="5" t="n"/>
      <c r="E103" s="3" t="n"/>
      <c r="F103" s="3" t="n"/>
      <c r="G103" s="3" t="n"/>
      <c r="H103" s="3" t="n"/>
    </row>
    <row r="104">
      <c r="A104" s="3" t="n"/>
      <c r="B104" s="3" t="n"/>
      <c r="C104" s="4" t="n"/>
      <c r="D104" s="5" t="n"/>
      <c r="E104" s="3" t="n"/>
      <c r="F104" s="3" t="n"/>
      <c r="G104" s="3" t="n"/>
      <c r="H104" s="3" t="n"/>
    </row>
    <row r="105">
      <c r="A105" s="3" t="n"/>
      <c r="B105" s="3" t="n"/>
      <c r="C105" s="4" t="n"/>
      <c r="D105" s="5" t="n"/>
      <c r="E105" s="3" t="n"/>
      <c r="F105" s="3" t="n"/>
      <c r="G105" s="3" t="n"/>
      <c r="H105" s="3" t="n"/>
    </row>
    <row r="106">
      <c r="A106" s="3" t="n"/>
      <c r="B106" s="3" t="n"/>
      <c r="C106" s="4" t="n"/>
      <c r="D106" s="5" t="n"/>
      <c r="E106" s="3" t="n"/>
      <c r="F106" s="3" t="n"/>
      <c r="G106" s="3" t="n"/>
      <c r="H106" s="3" t="n"/>
    </row>
    <row r="107">
      <c r="A107" s="3" t="n"/>
      <c r="B107" s="3" t="n"/>
      <c r="C107" s="4" t="n"/>
      <c r="D107" s="5" t="n"/>
      <c r="E107" s="3" t="n"/>
      <c r="F107" s="3" t="n"/>
      <c r="G107" s="3" t="n"/>
      <c r="H107" s="3" t="n"/>
    </row>
    <row r="108">
      <c r="A108" s="3" t="n"/>
      <c r="B108" s="3" t="n"/>
      <c r="C108" s="4" t="n"/>
      <c r="D108" s="5" t="n"/>
      <c r="E108" s="3" t="n"/>
      <c r="F108" s="3" t="n"/>
      <c r="G108" s="3" t="n"/>
      <c r="H108" s="3" t="n"/>
    </row>
    <row r="109">
      <c r="A109" s="3" t="n"/>
      <c r="B109" s="3" t="n"/>
      <c r="C109" s="4" t="n"/>
      <c r="D109" s="5" t="n"/>
      <c r="E109" s="3" t="n"/>
      <c r="F109" s="3" t="n"/>
      <c r="G109" s="3" t="n"/>
      <c r="H109" s="3" t="n"/>
    </row>
    <row r="110">
      <c r="A110" s="3" t="n"/>
      <c r="B110" s="3" t="n"/>
      <c r="C110" s="4" t="n"/>
      <c r="D110" s="5" t="n"/>
      <c r="E110" s="3" t="n"/>
      <c r="F110" s="3" t="n"/>
      <c r="G110" s="3" t="n"/>
      <c r="H110" s="3" t="n"/>
    </row>
    <row r="111">
      <c r="A111" s="3" t="n"/>
      <c r="B111" s="3" t="n"/>
      <c r="C111" s="4" t="n"/>
      <c r="D111" s="5" t="n"/>
      <c r="E111" s="3" t="n"/>
      <c r="F111" s="3" t="n"/>
      <c r="G111" s="3" t="n"/>
      <c r="H111" s="3" t="n"/>
    </row>
    <row r="112">
      <c r="A112" s="3" t="n"/>
      <c r="B112" s="3" t="n"/>
      <c r="C112" s="4" t="n"/>
      <c r="D112" s="5" t="n"/>
      <c r="E112" s="3" t="n"/>
      <c r="F112" s="3" t="n"/>
      <c r="G112" s="3" t="n"/>
      <c r="H112" s="3" t="n"/>
    </row>
    <row r="113">
      <c r="A113" s="3" t="n"/>
      <c r="B113" s="3" t="n"/>
      <c r="C113" s="4" t="n"/>
      <c r="D113" s="5" t="n"/>
      <c r="E113" s="3" t="n"/>
      <c r="F113" s="3" t="n"/>
      <c r="G113" s="3" t="n"/>
      <c r="H113" s="3" t="n"/>
    </row>
    <row r="114">
      <c r="A114" s="3" t="n"/>
      <c r="B114" s="3" t="n"/>
      <c r="C114" s="4" t="n"/>
      <c r="D114" s="5" t="n"/>
      <c r="E114" s="3" t="n"/>
      <c r="F114" s="3" t="n"/>
      <c r="G114" s="3" t="n"/>
      <c r="H114" s="3" t="n"/>
    </row>
    <row r="115">
      <c r="A115" s="3" t="n"/>
      <c r="B115" s="3" t="n"/>
      <c r="C115" s="4" t="n"/>
      <c r="D115" s="5" t="n"/>
      <c r="E115" s="3" t="n"/>
      <c r="F115" s="3" t="n"/>
      <c r="G115" s="3" t="n"/>
      <c r="H115" s="3" t="n"/>
    </row>
    <row r="116">
      <c r="A116" s="3" t="n"/>
      <c r="B116" s="3" t="n"/>
      <c r="C116" s="4" t="n"/>
      <c r="D116" s="5" t="n"/>
      <c r="E116" s="3" t="n"/>
      <c r="F116" s="3" t="n"/>
      <c r="G116" s="3" t="n"/>
      <c r="H116" s="3" t="n"/>
    </row>
    <row r="117">
      <c r="A117" s="3" t="n"/>
      <c r="B117" s="3" t="n"/>
      <c r="C117" s="4" t="n"/>
      <c r="D117" s="5" t="n"/>
      <c r="E117" s="3" t="n"/>
      <c r="F117" s="3" t="n"/>
      <c r="G117" s="3" t="n"/>
      <c r="H117" s="3" t="n"/>
    </row>
    <row r="118">
      <c r="A118" s="3" t="n"/>
      <c r="B118" s="3" t="n"/>
      <c r="C118" s="4" t="n"/>
      <c r="D118" s="5" t="n"/>
      <c r="E118" s="3" t="n"/>
      <c r="F118" s="3" t="n"/>
      <c r="G118" s="3" t="n"/>
      <c r="H118" s="3" t="n"/>
    </row>
    <row r="119">
      <c r="A119" s="3" t="n"/>
      <c r="B119" s="3" t="n"/>
      <c r="C119" s="4" t="n"/>
      <c r="D119" s="5" t="n"/>
      <c r="E119" s="3" t="n"/>
      <c r="F119" s="3" t="n"/>
      <c r="G119" s="3" t="n"/>
      <c r="H119" s="3" t="n"/>
    </row>
    <row r="120">
      <c r="A120" s="3" t="n"/>
      <c r="B120" s="3" t="n"/>
      <c r="C120" s="4" t="n"/>
      <c r="D120" s="5" t="n"/>
      <c r="E120" s="3" t="n"/>
      <c r="F120" s="3" t="n"/>
      <c r="G120" s="3" t="n"/>
      <c r="H120" s="3" t="n"/>
    </row>
    <row r="121">
      <c r="A121" s="3" t="n"/>
      <c r="B121" s="3" t="n"/>
      <c r="C121" s="4" t="n"/>
      <c r="D121" s="5" t="n"/>
      <c r="E121" s="3" t="n"/>
      <c r="F121" s="3" t="n"/>
      <c r="G121" s="3" t="n"/>
      <c r="H121" s="3" t="n"/>
    </row>
    <row r="122">
      <c r="A122" s="3" t="n"/>
      <c r="B122" s="3" t="n"/>
      <c r="C122" s="4" t="n"/>
      <c r="D122" s="5" t="n"/>
      <c r="E122" s="3" t="n"/>
      <c r="F122" s="3" t="n"/>
      <c r="G122" s="3" t="n"/>
      <c r="H122" s="3" t="n"/>
    </row>
    <row r="123">
      <c r="A123" s="3" t="n"/>
      <c r="B123" s="3" t="n"/>
      <c r="C123" s="4" t="n"/>
      <c r="D123" s="5" t="n"/>
      <c r="E123" s="3" t="n"/>
      <c r="F123" s="3" t="n"/>
      <c r="G123" s="3" t="n"/>
      <c r="H123" s="3" t="n"/>
    </row>
    <row r="124">
      <c r="A124" s="3" t="n"/>
      <c r="B124" s="3" t="n"/>
      <c r="C124" s="4" t="n"/>
      <c r="D124" s="5" t="n"/>
      <c r="E124" s="3" t="n"/>
      <c r="F124" s="3" t="n"/>
      <c r="G124" s="3" t="n"/>
      <c r="H124" s="3" t="n"/>
    </row>
    <row r="125">
      <c r="A125" s="3" t="n"/>
      <c r="B125" s="3" t="n"/>
      <c r="C125" s="4" t="n"/>
      <c r="D125" s="5" t="n"/>
      <c r="E125" s="3" t="n"/>
      <c r="F125" s="3" t="n"/>
      <c r="G125" s="3" t="n"/>
      <c r="H125" s="3" t="n"/>
    </row>
    <row r="126">
      <c r="A126" s="3" t="n"/>
      <c r="B126" s="3" t="n"/>
      <c r="C126" s="4" t="n"/>
      <c r="D126" s="5" t="n"/>
      <c r="E126" s="3" t="n"/>
      <c r="F126" s="3" t="n"/>
      <c r="G126" s="3" t="n"/>
      <c r="H126" s="3" t="n"/>
    </row>
    <row r="127">
      <c r="A127" s="3" t="n"/>
      <c r="B127" s="3" t="n"/>
      <c r="C127" s="4" t="n"/>
      <c r="D127" s="5" t="n"/>
      <c r="E127" s="3" t="n"/>
      <c r="F127" s="3" t="n"/>
      <c r="G127" s="3" t="n"/>
      <c r="H127" s="3" t="n"/>
    </row>
    <row r="128">
      <c r="A128" s="3" t="n"/>
      <c r="B128" s="3" t="n"/>
      <c r="C128" s="4" t="n"/>
      <c r="D128" s="5" t="n"/>
      <c r="E128" s="3" t="n"/>
      <c r="F128" s="3" t="n"/>
      <c r="G128" s="3" t="n"/>
      <c r="H128" s="3" t="n"/>
    </row>
    <row r="129">
      <c r="A129" s="3" t="n"/>
      <c r="B129" s="3" t="n"/>
      <c r="C129" s="4" t="n"/>
      <c r="D129" s="5" t="n"/>
      <c r="E129" s="3" t="n"/>
      <c r="F129" s="3" t="n"/>
      <c r="G129" s="3" t="n"/>
      <c r="H129" s="3" t="n"/>
    </row>
    <row r="130">
      <c r="A130" s="3" t="n"/>
      <c r="B130" s="3" t="n"/>
      <c r="C130" s="4" t="n"/>
      <c r="D130" s="5" t="n"/>
      <c r="E130" s="3" t="n"/>
      <c r="F130" s="3" t="n"/>
      <c r="G130" s="3" t="n"/>
      <c r="H130" s="3" t="n"/>
    </row>
    <row r="131">
      <c r="A131" s="3" t="n"/>
      <c r="B131" s="3" t="n"/>
      <c r="C131" s="4" t="n"/>
      <c r="D131" s="5" t="n"/>
      <c r="E131" s="3" t="n"/>
      <c r="F131" s="3" t="n"/>
      <c r="G131" s="3" t="n"/>
      <c r="H131" s="3" t="n"/>
    </row>
    <row r="132">
      <c r="A132" s="3" t="n"/>
      <c r="B132" s="3" t="n"/>
      <c r="C132" s="4" t="n"/>
      <c r="D132" s="5" t="n"/>
      <c r="E132" s="3" t="n"/>
      <c r="F132" s="3" t="n"/>
      <c r="G132" s="3" t="n"/>
      <c r="H132" s="3" t="n"/>
    </row>
    <row r="133">
      <c r="A133" s="3" t="n"/>
      <c r="B133" s="3" t="n"/>
      <c r="C133" s="4" t="n"/>
      <c r="D133" s="5" t="n"/>
      <c r="E133" s="3" t="n"/>
      <c r="F133" s="3" t="n"/>
      <c r="G133" s="3" t="n"/>
      <c r="H133" s="3" t="n"/>
    </row>
    <row r="134">
      <c r="A134" s="3" t="n"/>
      <c r="B134" s="3" t="n"/>
      <c r="C134" s="4" t="n"/>
      <c r="D134" s="5" t="n"/>
      <c r="E134" s="3" t="n"/>
      <c r="F134" s="3" t="n"/>
      <c r="G134" s="3" t="n"/>
      <c r="H134" s="3" t="n"/>
    </row>
    <row r="135">
      <c r="A135" s="3" t="n"/>
      <c r="B135" s="3" t="n"/>
      <c r="C135" s="4" t="n"/>
      <c r="D135" s="5" t="n"/>
      <c r="E135" s="3" t="n"/>
      <c r="F135" s="3" t="n"/>
      <c r="G135" s="3" t="n"/>
      <c r="H135" s="3" t="n"/>
    </row>
    <row r="136">
      <c r="A136" s="3" t="n"/>
      <c r="B136" s="3" t="n"/>
      <c r="C136" s="4" t="n"/>
      <c r="D136" s="5" t="n"/>
      <c r="E136" s="3" t="n"/>
      <c r="F136" s="3" t="n"/>
      <c r="G136" s="3" t="n"/>
      <c r="H136" s="3" t="n"/>
    </row>
    <row r="137">
      <c r="A137" s="3" t="n"/>
      <c r="B137" s="3" t="n"/>
      <c r="C137" s="4" t="n"/>
      <c r="D137" s="5" t="n"/>
      <c r="E137" s="3" t="n"/>
      <c r="F137" s="3" t="n"/>
      <c r="G137" s="3" t="n"/>
      <c r="H137" s="3" t="n"/>
    </row>
    <row r="138">
      <c r="A138" s="3" t="n"/>
      <c r="B138" s="3" t="n"/>
      <c r="C138" s="4" t="n"/>
      <c r="D138" s="5" t="n"/>
      <c r="E138" s="3" t="n"/>
      <c r="F138" s="3" t="n"/>
      <c r="G138" s="3" t="n"/>
      <c r="H138" s="3" t="n"/>
    </row>
    <row r="139">
      <c r="A139" s="3" t="n"/>
      <c r="B139" s="3" t="n"/>
      <c r="C139" s="4" t="n"/>
      <c r="D139" s="5" t="n"/>
      <c r="E139" s="3" t="n"/>
      <c r="F139" s="3" t="n"/>
      <c r="G139" s="3" t="n"/>
      <c r="H139" s="3" t="n"/>
    </row>
    <row r="140">
      <c r="A140" s="3" t="n"/>
      <c r="B140" s="3" t="n"/>
      <c r="C140" s="4" t="n"/>
      <c r="D140" s="5" t="n"/>
      <c r="E140" s="3" t="n"/>
      <c r="F140" s="3" t="n"/>
      <c r="G140" s="3" t="n"/>
      <c r="H140" s="3" t="n"/>
    </row>
    <row r="141">
      <c r="A141" s="3" t="n"/>
      <c r="B141" s="3" t="n"/>
      <c r="C141" s="4" t="n"/>
      <c r="D141" s="5" t="n"/>
      <c r="E141" s="3" t="n"/>
      <c r="F141" s="3" t="n"/>
      <c r="G141" s="3" t="n"/>
      <c r="H141" s="3" t="n"/>
    </row>
    <row r="142">
      <c r="A142" s="3" t="n"/>
      <c r="B142" s="3" t="n"/>
      <c r="C142" s="4" t="n"/>
      <c r="D142" s="5" t="n"/>
      <c r="E142" s="3" t="n"/>
      <c r="F142" s="3" t="n"/>
      <c r="G142" s="3" t="n"/>
      <c r="H142" s="3" t="n"/>
    </row>
    <row r="143">
      <c r="A143" s="3" t="n"/>
      <c r="B143" s="3" t="n"/>
      <c r="C143" s="4" t="n"/>
      <c r="D143" s="5" t="n"/>
      <c r="E143" s="3" t="n"/>
      <c r="F143" s="3" t="n"/>
      <c r="G143" s="3" t="n"/>
      <c r="H143" s="3" t="n"/>
    </row>
    <row r="144">
      <c r="A144" s="3" t="n"/>
      <c r="B144" s="3" t="n"/>
      <c r="C144" s="4" t="n"/>
      <c r="D144" s="5" t="n"/>
      <c r="E144" s="3" t="n"/>
      <c r="F144" s="3" t="n"/>
      <c r="G144" s="3" t="n"/>
      <c r="H144" s="3" t="n"/>
    </row>
    <row r="145">
      <c r="A145" s="3" t="n"/>
      <c r="B145" s="3" t="n"/>
      <c r="C145" s="4" t="n"/>
      <c r="D145" s="5" t="n"/>
      <c r="E145" s="3" t="n"/>
      <c r="F145" s="3" t="n"/>
      <c r="G145" s="3" t="n"/>
      <c r="H145" s="3" t="n"/>
    </row>
    <row r="146">
      <c r="A146" s="3" t="n"/>
      <c r="B146" s="3" t="n"/>
      <c r="C146" s="4" t="n"/>
      <c r="D146" s="5" t="n"/>
      <c r="E146" s="3" t="n"/>
      <c r="F146" s="3" t="n"/>
      <c r="G146" s="3" t="n"/>
      <c r="H146" s="3" t="n"/>
    </row>
    <row r="147">
      <c r="A147" s="3" t="n"/>
      <c r="B147" s="3" t="n"/>
      <c r="C147" s="4" t="n"/>
      <c r="D147" s="5" t="n"/>
      <c r="E147" s="3" t="n"/>
      <c r="F147" s="3" t="n"/>
      <c r="G147" s="3" t="n"/>
      <c r="H147" s="3" t="n"/>
    </row>
    <row r="148">
      <c r="A148" s="3" t="n"/>
      <c r="B148" s="3" t="n"/>
      <c r="C148" s="4" t="n"/>
      <c r="D148" s="5" t="n"/>
      <c r="E148" s="3" t="n"/>
      <c r="F148" s="3" t="n"/>
      <c r="G148" s="3" t="n"/>
      <c r="H148" s="3" t="n"/>
    </row>
    <row r="149">
      <c r="A149" s="3" t="n"/>
      <c r="B149" s="3" t="n"/>
      <c r="C149" s="4" t="n"/>
      <c r="D149" s="5" t="n"/>
      <c r="E149" s="3" t="n"/>
      <c r="F149" s="3" t="n"/>
      <c r="G149" s="3" t="n"/>
      <c r="H149" s="3" t="n"/>
    </row>
    <row r="150">
      <c r="A150" s="3" t="n"/>
      <c r="B150" s="3" t="n"/>
      <c r="C150" s="4" t="n"/>
      <c r="D150" s="5" t="n"/>
      <c r="E150" s="3" t="n"/>
      <c r="F150" s="3" t="n"/>
      <c r="G150" s="3" t="n"/>
      <c r="H150" s="3" t="n"/>
    </row>
    <row r="151">
      <c r="A151" s="3" t="n"/>
      <c r="B151" s="3" t="n"/>
      <c r="C151" s="4" t="n"/>
      <c r="D151" s="5" t="n"/>
      <c r="E151" s="3" t="n"/>
      <c r="F151" s="3" t="n"/>
      <c r="G151" s="3" t="n"/>
      <c r="H151" s="3" t="n"/>
    </row>
    <row r="152">
      <c r="A152" s="3" t="n"/>
      <c r="B152" s="3" t="n"/>
      <c r="C152" s="4" t="n"/>
      <c r="D152" s="5" t="n"/>
      <c r="E152" s="3" t="n"/>
      <c r="F152" s="3" t="n"/>
      <c r="G152" s="3" t="n"/>
      <c r="H152" s="3" t="n"/>
    </row>
    <row r="153">
      <c r="A153" s="3" t="n"/>
      <c r="B153" s="3" t="n"/>
      <c r="C153" s="4" t="n"/>
      <c r="D153" s="5" t="n"/>
      <c r="E153" s="3" t="n"/>
      <c r="F153" s="3" t="n"/>
      <c r="G153" s="3" t="n"/>
      <c r="H153" s="3" t="n"/>
    </row>
    <row r="154">
      <c r="A154" s="3" t="n"/>
      <c r="B154" s="3" t="n"/>
      <c r="C154" s="4" t="n"/>
      <c r="D154" s="5" t="n"/>
      <c r="E154" s="3" t="n"/>
      <c r="F154" s="3" t="n"/>
      <c r="G154" s="3" t="n"/>
      <c r="H154" s="3" t="n"/>
    </row>
    <row r="155">
      <c r="A155" s="3" t="n"/>
      <c r="B155" s="3" t="n"/>
      <c r="C155" s="4" t="n"/>
      <c r="D155" s="5" t="n"/>
      <c r="E155" s="3" t="n"/>
      <c r="F155" s="3" t="n"/>
      <c r="G155" s="3" t="n"/>
      <c r="H155" s="3" t="n"/>
    </row>
    <row r="156">
      <c r="A156" s="3" t="n"/>
      <c r="B156" s="3" t="n"/>
      <c r="C156" s="4" t="n"/>
      <c r="D156" s="5" t="n"/>
      <c r="E156" s="3" t="n"/>
      <c r="F156" s="3" t="n"/>
      <c r="G156" s="3" t="n"/>
      <c r="H156" s="3" t="n"/>
    </row>
    <row r="157">
      <c r="A157" s="3" t="n"/>
      <c r="B157" s="3" t="n"/>
      <c r="C157" s="4" t="n"/>
      <c r="D157" s="5" t="n"/>
      <c r="E157" s="3" t="n"/>
      <c r="F157" s="3" t="n"/>
      <c r="G157" s="3" t="n"/>
      <c r="H157" s="3" t="n"/>
    </row>
    <row r="158">
      <c r="A158" s="3" t="n"/>
      <c r="B158" s="3" t="n"/>
      <c r="C158" s="4" t="n"/>
      <c r="D158" s="5" t="n"/>
      <c r="E158" s="3" t="n"/>
      <c r="F158" s="3" t="n"/>
      <c r="G158" s="3" t="n"/>
      <c r="H158" s="3" t="n"/>
    </row>
    <row r="159">
      <c r="A159" s="3" t="n"/>
      <c r="B159" s="3" t="n"/>
      <c r="C159" s="4" t="n"/>
      <c r="D159" s="5" t="n"/>
      <c r="E159" s="3" t="n"/>
      <c r="F159" s="3" t="n"/>
      <c r="G159" s="3" t="n"/>
      <c r="H159" s="3" t="n"/>
    </row>
    <row r="160">
      <c r="A160" s="3" t="n"/>
      <c r="B160" s="3" t="n"/>
      <c r="C160" s="4" t="n"/>
      <c r="D160" s="5" t="n"/>
      <c r="E160" s="3" t="n"/>
      <c r="F160" s="3" t="n"/>
      <c r="G160" s="3" t="n"/>
      <c r="H160" s="3" t="n"/>
    </row>
    <row r="161">
      <c r="A161" s="3" t="n"/>
      <c r="B161" s="3" t="n"/>
      <c r="C161" s="4" t="n"/>
      <c r="D161" s="5" t="n"/>
      <c r="E161" s="3" t="n"/>
      <c r="F161" s="3" t="n"/>
      <c r="G161" s="3" t="n"/>
      <c r="H161" s="3" t="n"/>
    </row>
    <row r="162">
      <c r="A162" s="3" t="n"/>
      <c r="B162" s="3" t="n"/>
      <c r="C162" s="4" t="n"/>
      <c r="D162" s="5" t="n"/>
      <c r="E162" s="3" t="n"/>
      <c r="F162" s="3" t="n"/>
      <c r="G162" s="3" t="n"/>
      <c r="H162" s="3" t="n"/>
    </row>
    <row r="163">
      <c r="A163" s="3" t="n"/>
      <c r="B163" s="3" t="n"/>
      <c r="C163" s="4" t="n"/>
      <c r="D163" s="5" t="n"/>
      <c r="E163" s="3" t="n"/>
      <c r="F163" s="3" t="n"/>
      <c r="G163" s="3" t="n"/>
      <c r="H163" s="3" t="n"/>
    </row>
    <row r="164">
      <c r="A164" s="3" t="n"/>
      <c r="B164" s="3" t="n"/>
      <c r="C164" s="4" t="n"/>
      <c r="D164" s="5" t="n"/>
      <c r="E164" s="3" t="n"/>
      <c r="F164" s="3" t="n"/>
      <c r="G164" s="3" t="n"/>
      <c r="H164" s="3" t="n"/>
    </row>
    <row r="165">
      <c r="A165" s="3" t="n"/>
      <c r="B165" s="3" t="n"/>
      <c r="C165" s="4" t="n"/>
      <c r="D165" s="5" t="n"/>
      <c r="E165" s="3" t="n"/>
      <c r="F165" s="3" t="n"/>
      <c r="G165" s="3" t="n"/>
      <c r="H165" s="3" t="n"/>
    </row>
    <row r="166">
      <c r="A166" s="3" t="n"/>
      <c r="B166" s="3" t="n"/>
      <c r="C166" s="4" t="n"/>
      <c r="D166" s="5" t="n"/>
      <c r="E166" s="3" t="n"/>
      <c r="F166" s="3" t="n"/>
      <c r="G166" s="3" t="n"/>
      <c r="H166" s="3" t="n"/>
    </row>
    <row r="167">
      <c r="A167" s="3" t="n"/>
      <c r="B167" s="3" t="n"/>
      <c r="C167" s="4" t="n"/>
      <c r="D167" s="5" t="n"/>
      <c r="E167" s="3" t="n"/>
      <c r="F167" s="3" t="n"/>
      <c r="G167" s="3" t="n"/>
      <c r="H167" s="3" t="n"/>
    </row>
    <row r="168">
      <c r="A168" s="3" t="n"/>
      <c r="B168" s="3" t="n"/>
      <c r="C168" s="4" t="n"/>
      <c r="D168" s="5" t="n"/>
      <c r="E168" s="3" t="n"/>
      <c r="F168" s="3" t="n"/>
      <c r="G168" s="3" t="n"/>
      <c r="H168" s="3" t="n"/>
    </row>
    <row r="169">
      <c r="A169" s="3" t="n"/>
      <c r="B169" s="3" t="n"/>
      <c r="C169" s="4" t="n"/>
      <c r="D169" s="5" t="n"/>
      <c r="E169" s="3" t="n"/>
      <c r="F169" s="3" t="n"/>
      <c r="G169" s="3" t="n"/>
      <c r="H169" s="3" t="n"/>
    </row>
    <row r="170">
      <c r="A170" s="3" t="n"/>
      <c r="B170" s="3" t="n"/>
      <c r="C170" s="4" t="n"/>
      <c r="D170" s="5" t="n"/>
      <c r="E170" s="3" t="n"/>
      <c r="F170" s="3" t="n"/>
      <c r="G170" s="3" t="n"/>
      <c r="H170" s="3" t="n"/>
    </row>
    <row r="171">
      <c r="A171" s="3" t="n"/>
      <c r="B171" s="3" t="n"/>
      <c r="C171" s="4" t="n"/>
      <c r="D171" s="5" t="n"/>
      <c r="E171" s="3" t="n"/>
      <c r="F171" s="3" t="n"/>
      <c r="G171" s="3" t="n"/>
      <c r="H171" s="3" t="n"/>
    </row>
    <row r="172">
      <c r="A172" s="3" t="n"/>
      <c r="B172" s="3" t="n"/>
      <c r="C172" s="4" t="n"/>
      <c r="D172" s="5" t="n"/>
      <c r="E172" s="3" t="n"/>
      <c r="F172" s="3" t="n"/>
      <c r="G172" s="3" t="n"/>
      <c r="H172" s="3" t="n"/>
    </row>
    <row r="173">
      <c r="A173" s="3" t="n"/>
      <c r="B173" s="3" t="n"/>
      <c r="C173" s="4" t="n"/>
      <c r="D173" s="5" t="n"/>
      <c r="E173" s="3" t="n"/>
      <c r="F173" s="3" t="n"/>
      <c r="G173" s="3" t="n"/>
      <c r="H173" s="3" t="n"/>
    </row>
    <row r="174">
      <c r="A174" s="3" t="n"/>
      <c r="B174" s="3" t="n"/>
      <c r="C174" s="4" t="n"/>
      <c r="D174" s="5" t="n"/>
      <c r="E174" s="3" t="n"/>
      <c r="F174" s="3" t="n"/>
      <c r="G174" s="3" t="n"/>
      <c r="H174" s="3" t="n"/>
    </row>
    <row r="175">
      <c r="A175" s="3" t="n"/>
      <c r="B175" s="3" t="n"/>
      <c r="C175" s="4" t="n"/>
      <c r="D175" s="5" t="n"/>
      <c r="E175" s="3" t="n"/>
      <c r="F175" s="3" t="n"/>
      <c r="G175" s="3" t="n"/>
      <c r="H175" s="3" t="n"/>
    </row>
    <row r="176">
      <c r="A176" s="3" t="n"/>
      <c r="B176" s="3" t="n"/>
      <c r="C176" s="4" t="n"/>
      <c r="D176" s="5" t="n"/>
      <c r="E176" s="3" t="n"/>
      <c r="F176" s="3" t="n"/>
      <c r="G176" s="3" t="n"/>
      <c r="H176" s="3" t="n"/>
    </row>
    <row r="177">
      <c r="A177" s="3" t="n"/>
      <c r="B177" s="3" t="n"/>
      <c r="C177" s="4" t="n"/>
      <c r="D177" s="5" t="n"/>
      <c r="E177" s="3" t="n"/>
      <c r="F177" s="3" t="n"/>
      <c r="G177" s="3" t="n"/>
      <c r="H177" s="3" t="n"/>
    </row>
    <row r="178">
      <c r="A178" s="3" t="n"/>
      <c r="B178" s="3" t="n"/>
      <c r="C178" s="4" t="n"/>
      <c r="D178" s="5" t="n"/>
      <c r="E178" s="3" t="n"/>
      <c r="F178" s="3" t="n"/>
      <c r="G178" s="3" t="n"/>
      <c r="H178" s="3" t="n"/>
    </row>
    <row r="179">
      <c r="A179" s="3" t="n"/>
      <c r="B179" s="3" t="n"/>
      <c r="C179" s="4" t="n"/>
      <c r="D179" s="5" t="n"/>
      <c r="E179" s="3" t="n"/>
      <c r="F179" s="3" t="n"/>
      <c r="G179" s="3" t="n"/>
      <c r="H179" s="3" t="n"/>
    </row>
    <row r="180">
      <c r="A180" s="3" t="n"/>
      <c r="B180" s="3" t="n"/>
      <c r="C180" s="4" t="n"/>
      <c r="D180" s="5" t="n"/>
      <c r="E180" s="3" t="n"/>
      <c r="F180" s="3" t="n"/>
      <c r="G180" s="3" t="n"/>
      <c r="H180" s="3" t="n"/>
    </row>
    <row r="181">
      <c r="A181" s="3" t="n"/>
      <c r="B181" s="3" t="n"/>
      <c r="C181" s="4" t="n"/>
      <c r="D181" s="5" t="n"/>
      <c r="E181" s="3" t="n"/>
      <c r="F181" s="3" t="n"/>
      <c r="G181" s="3" t="n"/>
      <c r="H181" s="3" t="n"/>
    </row>
    <row r="182">
      <c r="A182" s="3" t="n"/>
      <c r="B182" s="3" t="n"/>
      <c r="C182" s="4" t="n"/>
      <c r="D182" s="5" t="n"/>
      <c r="E182" s="3" t="n"/>
      <c r="F182" s="3" t="n"/>
      <c r="G182" s="3" t="n"/>
      <c r="H182" s="3" t="n"/>
    </row>
    <row r="183">
      <c r="A183" s="3" t="n"/>
      <c r="B183" s="3" t="n"/>
      <c r="C183" s="4" t="n"/>
      <c r="D183" s="5" t="n"/>
      <c r="E183" s="3" t="n"/>
      <c r="F183" s="3" t="n"/>
      <c r="G183" s="3" t="n"/>
      <c r="H183" s="3" t="n"/>
    </row>
    <row r="184">
      <c r="A184" s="3" t="n"/>
      <c r="B184" s="3" t="n"/>
      <c r="C184" s="4" t="n"/>
      <c r="D184" s="5" t="n"/>
      <c r="E184" s="3" t="n"/>
      <c r="F184" s="3" t="n"/>
      <c r="G184" s="3" t="n"/>
      <c r="H184" s="3" t="n"/>
    </row>
    <row r="185">
      <c r="A185" s="3" t="n"/>
      <c r="B185" s="3" t="n"/>
      <c r="C185" s="4" t="n"/>
      <c r="D185" s="5" t="n"/>
      <c r="E185" s="3" t="n"/>
      <c r="F185" s="3" t="n"/>
      <c r="G185" s="3" t="n"/>
      <c r="H185" s="3" t="n"/>
    </row>
    <row r="186">
      <c r="A186" s="3" t="n"/>
      <c r="B186" s="3" t="n"/>
      <c r="C186" s="4" t="n"/>
      <c r="D186" s="5" t="n"/>
      <c r="E186" s="3" t="n"/>
      <c r="F186" s="3" t="n"/>
      <c r="G186" s="3" t="n"/>
      <c r="H186" s="3" t="n"/>
    </row>
    <row r="187">
      <c r="A187" s="3" t="n"/>
      <c r="B187" s="3" t="n"/>
      <c r="C187" s="4" t="n"/>
      <c r="D187" s="5" t="n"/>
      <c r="E187" s="3" t="n"/>
      <c r="F187" s="3" t="n"/>
      <c r="G187" s="3" t="n"/>
      <c r="H187" s="3" t="n"/>
    </row>
    <row r="188">
      <c r="A188" s="3" t="n"/>
      <c r="B188" s="3" t="n"/>
      <c r="C188" s="4" t="n"/>
      <c r="D188" s="5" t="n"/>
      <c r="E188" s="3" t="n"/>
      <c r="F188" s="3" t="n"/>
      <c r="G188" s="3" t="n"/>
      <c r="H188" s="3" t="n"/>
    </row>
    <row r="189">
      <c r="A189" s="3" t="n"/>
      <c r="B189" s="3" t="n"/>
      <c r="C189" s="4" t="n"/>
      <c r="D189" s="5" t="n"/>
      <c r="E189" s="3" t="n"/>
      <c r="F189" s="3" t="n"/>
      <c r="G189" s="3" t="n"/>
      <c r="H189" s="3" t="n"/>
    </row>
    <row r="190">
      <c r="A190" s="3" t="n"/>
      <c r="B190" s="3" t="n"/>
      <c r="C190" s="4" t="n"/>
      <c r="D190" s="5" t="n"/>
      <c r="E190" s="3" t="n"/>
      <c r="F190" s="3" t="n"/>
      <c r="G190" s="3" t="n"/>
      <c r="H190" s="3" t="n"/>
    </row>
    <row r="191">
      <c r="A191" s="3" t="n"/>
      <c r="B191" s="3" t="n"/>
      <c r="C191" s="4" t="n"/>
      <c r="D191" s="5" t="n"/>
      <c r="E191" s="3" t="n"/>
      <c r="F191" s="3" t="n"/>
      <c r="G191" s="3" t="n"/>
      <c r="H191" s="3" t="n"/>
    </row>
    <row r="192">
      <c r="A192" s="3" t="n"/>
      <c r="B192" s="3" t="n"/>
      <c r="C192" s="4" t="n"/>
      <c r="D192" s="5" t="n"/>
      <c r="E192" s="3" t="n"/>
      <c r="F192" s="3" t="n"/>
      <c r="G192" s="3" t="n"/>
      <c r="H192" s="3" t="n"/>
    </row>
    <row r="193">
      <c r="A193" s="3" t="n"/>
      <c r="B193" s="3" t="n"/>
      <c r="C193" s="4" t="n"/>
      <c r="D193" s="5" t="n"/>
      <c r="E193" s="3" t="n"/>
      <c r="F193" s="3" t="n"/>
      <c r="G193" s="3" t="n"/>
      <c r="H193" s="3" t="n"/>
    </row>
    <row r="194">
      <c r="A194" s="3" t="n"/>
      <c r="B194" s="3" t="n"/>
      <c r="C194" s="4" t="n"/>
      <c r="D194" s="5" t="n"/>
      <c r="E194" s="3" t="n"/>
      <c r="F194" s="3" t="n"/>
      <c r="G194" s="3" t="n"/>
      <c r="H194" s="3" t="n"/>
    </row>
    <row r="195">
      <c r="A195" s="3" t="n"/>
      <c r="B195" s="3" t="n"/>
      <c r="C195" s="4" t="n"/>
      <c r="D195" s="5" t="n"/>
      <c r="E195" s="3" t="n"/>
      <c r="F195" s="3" t="n"/>
      <c r="G195" s="3" t="n"/>
      <c r="H195" s="3" t="n"/>
    </row>
    <row r="196">
      <c r="A196" s="3" t="n"/>
      <c r="B196" s="3" t="n"/>
      <c r="C196" s="4" t="n"/>
      <c r="D196" s="5" t="n"/>
      <c r="E196" s="3" t="n"/>
      <c r="F196" s="3" t="n"/>
      <c r="G196" s="3" t="n"/>
      <c r="H196" s="3" t="n"/>
    </row>
    <row r="197">
      <c r="A197" s="3" t="n"/>
      <c r="B197" s="3" t="n"/>
      <c r="C197" s="4" t="n"/>
      <c r="D197" s="5" t="n"/>
      <c r="E197" s="3" t="n"/>
      <c r="F197" s="3" t="n"/>
      <c r="G197" s="3" t="n"/>
      <c r="H197" s="3" t="n"/>
    </row>
    <row r="198">
      <c r="A198" s="3" t="n"/>
      <c r="B198" s="3" t="n"/>
      <c r="C198" s="4" t="n"/>
      <c r="D198" s="5" t="n"/>
      <c r="E198" s="3" t="n"/>
      <c r="F198" s="3" t="n"/>
      <c r="G198" s="3" t="n"/>
      <c r="H198" s="3" t="n"/>
    </row>
    <row r="199">
      <c r="A199" s="3" t="n"/>
      <c r="B199" s="3" t="n"/>
      <c r="C199" s="4" t="n"/>
      <c r="D199" s="5" t="n"/>
      <c r="E199" s="3" t="n"/>
      <c r="F199" s="3" t="n"/>
      <c r="G199" s="3" t="n"/>
      <c r="H199" s="3" t="n"/>
    </row>
    <row r="200">
      <c r="A200" s="3" t="n"/>
      <c r="B200" s="3" t="n"/>
      <c r="C200" s="4" t="n"/>
      <c r="D200" s="5" t="n"/>
      <c r="E200" s="3" t="n"/>
      <c r="F200" s="3" t="n"/>
      <c r="G200" s="3" t="n"/>
      <c r="H200" s="3" t="n"/>
    </row>
    <row r="201">
      <c r="A201" s="3" t="n"/>
      <c r="B201" s="3" t="n"/>
      <c r="C201" s="4" t="n"/>
      <c r="D201" s="5" t="n"/>
      <c r="E201" s="3" t="n"/>
      <c r="F201" s="3" t="n"/>
      <c r="G201" s="3" t="n"/>
      <c r="H201" s="3" t="n"/>
    </row>
    <row r="202">
      <c r="A202" s="3" t="n"/>
      <c r="B202" s="3" t="n"/>
      <c r="C202" s="4" t="n"/>
      <c r="D202" s="5" t="n"/>
      <c r="E202" s="3" t="n"/>
      <c r="F202" s="3" t="n"/>
      <c r="G202" s="3" t="n"/>
      <c r="H202" s="3" t="n"/>
    </row>
    <row r="203">
      <c r="A203" s="3" t="n"/>
      <c r="B203" s="3" t="n"/>
      <c r="C203" s="4" t="n"/>
      <c r="D203" s="5" t="n"/>
      <c r="E203" s="3" t="n"/>
      <c r="F203" s="3" t="n"/>
      <c r="G203" s="3" t="n"/>
      <c r="H203" s="3" t="n"/>
    </row>
    <row r="204">
      <c r="A204" s="3" t="n"/>
      <c r="B204" s="3" t="n"/>
      <c r="C204" s="4" t="n"/>
      <c r="D204" s="5" t="n"/>
      <c r="E204" s="3" t="n"/>
      <c r="F204" s="3" t="n"/>
      <c r="G204" s="3" t="n"/>
      <c r="H204" s="3" t="n"/>
    </row>
    <row r="205">
      <c r="A205" s="3" t="n"/>
      <c r="B205" s="3" t="n"/>
      <c r="C205" s="4" t="n"/>
      <c r="D205" s="5" t="n"/>
      <c r="E205" s="3" t="n"/>
      <c r="F205" s="3" t="n"/>
      <c r="G205" s="3" t="n"/>
      <c r="H205" s="3" t="n"/>
    </row>
    <row r="206">
      <c r="A206" s="3" t="n"/>
      <c r="B206" s="3" t="n"/>
      <c r="C206" s="4" t="n"/>
      <c r="D206" s="5" t="n"/>
      <c r="E206" s="3" t="n"/>
      <c r="F206" s="3" t="n"/>
      <c r="G206" s="3" t="n"/>
      <c r="H206" s="3" t="n"/>
    </row>
    <row r="207">
      <c r="A207" s="3" t="n"/>
      <c r="B207" s="3" t="n"/>
      <c r="C207" s="4" t="n"/>
      <c r="D207" s="5" t="n"/>
      <c r="E207" s="3" t="n"/>
      <c r="F207" s="3" t="n"/>
      <c r="G207" s="3" t="n"/>
      <c r="H207" s="3" t="n"/>
    </row>
    <row r="208">
      <c r="A208" s="3" t="n"/>
      <c r="B208" s="3" t="n"/>
      <c r="C208" s="4" t="n"/>
      <c r="D208" s="5" t="n"/>
      <c r="E208" s="3" t="n"/>
      <c r="F208" s="3" t="n"/>
      <c r="G208" s="3" t="n"/>
      <c r="H208" s="3" t="n"/>
    </row>
    <row r="209">
      <c r="A209" s="3" t="n"/>
      <c r="B209" s="3" t="n"/>
      <c r="C209" s="4" t="n"/>
      <c r="D209" s="5" t="n"/>
      <c r="E209" s="3" t="n"/>
      <c r="F209" s="3" t="n"/>
      <c r="G209" s="3" t="n"/>
      <c r="H209" s="3" t="n"/>
    </row>
    <row r="210">
      <c r="A210" s="3" t="n"/>
      <c r="B210" s="3" t="n"/>
      <c r="C210" s="4" t="n"/>
      <c r="D210" s="5" t="n"/>
      <c r="E210" s="3" t="n"/>
      <c r="F210" s="3" t="n"/>
      <c r="G210" s="3" t="n"/>
      <c r="H210" s="3" t="n"/>
    </row>
    <row r="211">
      <c r="A211" s="3" t="n"/>
      <c r="B211" s="3" t="n"/>
      <c r="C211" s="4" t="n"/>
      <c r="D211" s="5" t="n"/>
      <c r="E211" s="3" t="n"/>
      <c r="F211" s="3" t="n"/>
      <c r="G211" s="3" t="n"/>
      <c r="H211" s="3" t="n"/>
    </row>
    <row r="212">
      <c r="A212" s="3" t="n"/>
      <c r="B212" s="3" t="n"/>
      <c r="C212" s="4" t="n"/>
      <c r="D212" s="5" t="n"/>
      <c r="E212" s="3" t="n"/>
      <c r="F212" s="3" t="n"/>
      <c r="G212" s="3" t="n"/>
      <c r="H212" s="3" t="n"/>
    </row>
    <row r="213">
      <c r="A213" s="3" t="n"/>
      <c r="B213" s="3" t="n"/>
      <c r="C213" s="4" t="n"/>
      <c r="D213" s="5" t="n"/>
      <c r="E213" s="3" t="n"/>
      <c r="F213" s="3" t="n"/>
      <c r="G213" s="3" t="n"/>
      <c r="H213" s="3" t="n"/>
    </row>
    <row r="214">
      <c r="A214" s="3" t="n"/>
      <c r="B214" s="3" t="n"/>
      <c r="C214" s="4" t="n"/>
      <c r="D214" s="5" t="n"/>
      <c r="E214" s="3" t="n"/>
      <c r="F214" s="3" t="n"/>
      <c r="G214" s="3" t="n"/>
      <c r="H214" s="3" t="n"/>
    </row>
    <row r="215">
      <c r="A215" s="3" t="n"/>
      <c r="B215" s="3" t="n"/>
      <c r="C215" s="4" t="n"/>
      <c r="D215" s="5" t="n"/>
      <c r="E215" s="3" t="n"/>
      <c r="F215" s="3" t="n"/>
      <c r="G215" s="3" t="n"/>
      <c r="H215" s="3" t="n"/>
    </row>
    <row r="216">
      <c r="A216" s="3" t="n"/>
      <c r="B216" s="3" t="n"/>
      <c r="C216" s="4" t="n"/>
      <c r="D216" s="5" t="n"/>
      <c r="E216" s="3" t="n"/>
      <c r="F216" s="3" t="n"/>
      <c r="G216" s="3" t="n"/>
      <c r="H216" s="3" t="n"/>
    </row>
    <row r="217">
      <c r="A217" s="3" t="n"/>
      <c r="B217" s="3" t="n"/>
      <c r="C217" s="4" t="n"/>
      <c r="D217" s="5" t="n"/>
      <c r="E217" s="3" t="n"/>
      <c r="F217" s="3" t="n"/>
      <c r="G217" s="3" t="n"/>
      <c r="H217" s="3" t="n"/>
    </row>
    <row r="218">
      <c r="A218" s="3" t="n"/>
      <c r="B218" s="3" t="n"/>
      <c r="C218" s="4" t="n"/>
      <c r="D218" s="5" t="n"/>
      <c r="E218" s="3" t="n"/>
      <c r="F218" s="3" t="n"/>
      <c r="G218" s="3" t="n"/>
      <c r="H218" s="3" t="n"/>
    </row>
    <row r="219">
      <c r="A219" s="3" t="n"/>
      <c r="B219" s="3" t="n"/>
      <c r="C219" s="4" t="n"/>
      <c r="D219" s="5" t="n"/>
      <c r="E219" s="3" t="n"/>
      <c r="F219" s="3" t="n"/>
      <c r="G219" s="3" t="n"/>
      <c r="H219" s="3" t="n"/>
    </row>
    <row r="220">
      <c r="A220" s="3" t="n"/>
      <c r="B220" s="3" t="n"/>
      <c r="C220" s="4" t="n"/>
      <c r="D220" s="5" t="n"/>
      <c r="E220" s="3" t="n"/>
      <c r="F220" s="3" t="n"/>
      <c r="G220" s="3" t="n"/>
      <c r="H220" s="3" t="n"/>
    </row>
    <row r="221">
      <c r="A221" s="3" t="n"/>
      <c r="B221" s="3" t="n"/>
      <c r="C221" s="4" t="n"/>
      <c r="D221" s="5" t="n"/>
      <c r="E221" s="3" t="n"/>
      <c r="F221" s="3" t="n"/>
      <c r="G221" s="3" t="n"/>
      <c r="H221" s="3" t="n"/>
    </row>
    <row r="222">
      <c r="A222" s="3" t="n"/>
      <c r="B222" s="3" t="n"/>
      <c r="C222" s="4" t="n"/>
      <c r="D222" s="5" t="n"/>
      <c r="E222" s="3" t="n"/>
      <c r="F222" s="3" t="n"/>
      <c r="G222" s="3" t="n"/>
      <c r="H222" s="3" t="n"/>
    </row>
    <row r="223">
      <c r="A223" s="3" t="n"/>
      <c r="B223" s="3" t="n"/>
      <c r="C223" s="4" t="n"/>
      <c r="D223" s="5" t="n"/>
      <c r="E223" s="3" t="n"/>
      <c r="F223" s="3" t="n"/>
      <c r="G223" s="3" t="n"/>
      <c r="H223" s="3" t="n"/>
    </row>
    <row r="224">
      <c r="A224" s="3" t="n"/>
      <c r="B224" s="3" t="n"/>
      <c r="C224" s="4" t="n"/>
      <c r="D224" s="5" t="n"/>
      <c r="E224" s="3" t="n"/>
      <c r="F224" s="3" t="n"/>
      <c r="G224" s="3" t="n"/>
      <c r="H224" s="3" t="n"/>
    </row>
    <row r="225">
      <c r="A225" s="3" t="n"/>
      <c r="B225" s="3" t="n"/>
      <c r="C225" s="4" t="n"/>
      <c r="D225" s="5" t="n"/>
      <c r="E225" s="3" t="n"/>
      <c r="F225" s="3" t="n"/>
      <c r="G225" s="3" t="n"/>
      <c r="H225" s="3" t="n"/>
    </row>
    <row r="226">
      <c r="A226" s="3" t="n"/>
      <c r="B226" s="3" t="n"/>
      <c r="C226" s="4" t="n"/>
      <c r="D226" s="5" t="n"/>
      <c r="E226" s="3" t="n"/>
      <c r="F226" s="3" t="n"/>
      <c r="G226" s="3" t="n"/>
      <c r="H226" s="3" t="n"/>
    </row>
    <row r="227">
      <c r="A227" s="3" t="n"/>
      <c r="B227" s="3" t="n"/>
      <c r="C227" s="4" t="n"/>
      <c r="D227" s="5" t="n"/>
      <c r="E227" s="3" t="n"/>
      <c r="F227" s="3" t="n"/>
      <c r="G227" s="3" t="n"/>
      <c r="H227" s="3" t="n"/>
    </row>
    <row r="228">
      <c r="A228" s="3" t="n"/>
      <c r="B228" s="3" t="n"/>
      <c r="C228" s="4" t="n"/>
      <c r="D228" s="5" t="n"/>
      <c r="E228" s="3" t="n"/>
      <c r="F228" s="3" t="n"/>
      <c r="G228" s="3" t="n"/>
      <c r="H228" s="3" t="n"/>
    </row>
    <row r="229">
      <c r="A229" s="3" t="n"/>
      <c r="B229" s="3" t="n"/>
      <c r="C229" s="4" t="n"/>
      <c r="D229" s="5" t="n"/>
      <c r="E229" s="3" t="n"/>
      <c r="F229" s="3" t="n"/>
      <c r="G229" s="3" t="n"/>
      <c r="H229" s="3" t="n"/>
    </row>
    <row r="230">
      <c r="A230" s="3" t="n"/>
      <c r="B230" s="3" t="n"/>
      <c r="C230" s="4" t="n"/>
      <c r="D230" s="5" t="n"/>
      <c r="E230" s="3" t="n"/>
      <c r="F230" s="3" t="n"/>
      <c r="G230" s="3" t="n"/>
      <c r="H230" s="3" t="n"/>
    </row>
    <row r="231">
      <c r="A231" s="3" t="n"/>
      <c r="B231" s="3" t="n"/>
      <c r="C231" s="4" t="n"/>
      <c r="D231" s="5" t="n"/>
      <c r="E231" s="3" t="n"/>
      <c r="F231" s="3" t="n"/>
      <c r="G231" s="3" t="n"/>
      <c r="H231" s="3" t="n"/>
    </row>
    <row r="232">
      <c r="A232" s="3" t="n"/>
      <c r="B232" s="3" t="n"/>
      <c r="C232" s="4" t="n"/>
      <c r="D232" s="5" t="n"/>
      <c r="E232" s="3" t="n"/>
      <c r="F232" s="3" t="n"/>
      <c r="G232" s="3" t="n"/>
      <c r="H232" s="3" t="n"/>
    </row>
    <row r="233">
      <c r="A233" s="3" t="n"/>
      <c r="B233" s="3" t="n"/>
      <c r="C233" s="4" t="n"/>
      <c r="D233" s="5" t="n"/>
      <c r="E233" s="3" t="n"/>
      <c r="F233" s="3" t="n"/>
      <c r="G233" s="3" t="n"/>
      <c r="H233" s="3" t="n"/>
    </row>
    <row r="234">
      <c r="A234" s="3" t="n"/>
      <c r="B234" s="3" t="n"/>
      <c r="C234" s="4" t="n"/>
      <c r="D234" s="5" t="n"/>
      <c r="E234" s="3" t="n"/>
      <c r="F234" s="3" t="n"/>
      <c r="G234" s="3" t="n"/>
      <c r="H234" s="3" t="n"/>
    </row>
    <row r="235">
      <c r="A235" s="3" t="n"/>
      <c r="B235" s="3" t="n"/>
      <c r="C235" s="4" t="n"/>
      <c r="D235" s="5" t="n"/>
      <c r="E235" s="3" t="n"/>
      <c r="F235" s="3" t="n"/>
      <c r="G235" s="3" t="n"/>
      <c r="H235" s="3" t="n"/>
    </row>
    <row r="236">
      <c r="A236" s="3" t="n"/>
      <c r="B236" s="3" t="n"/>
      <c r="C236" s="4" t="n"/>
      <c r="D236" s="5" t="n"/>
      <c r="E236" s="3" t="n"/>
      <c r="F236" s="3" t="n"/>
      <c r="G236" s="3" t="n"/>
      <c r="H236" s="3" t="n"/>
    </row>
    <row r="237">
      <c r="A237" s="3" t="n"/>
      <c r="B237" s="3" t="n"/>
      <c r="C237" s="4" t="n"/>
      <c r="D237" s="5" t="n"/>
      <c r="E237" s="3" t="n"/>
      <c r="F237" s="3" t="n"/>
      <c r="G237" s="3" t="n"/>
      <c r="H237" s="3" t="n"/>
    </row>
    <row r="238">
      <c r="A238" s="3" t="n"/>
      <c r="B238" s="3" t="n"/>
      <c r="C238" s="4" t="n"/>
      <c r="D238" s="5" t="n"/>
      <c r="E238" s="3" t="n"/>
      <c r="F238" s="3" t="n"/>
      <c r="G238" s="3" t="n"/>
      <c r="H238" s="3" t="n"/>
    </row>
    <row r="239">
      <c r="A239" s="3" t="n"/>
      <c r="B239" s="3" t="n"/>
      <c r="C239" s="4" t="n"/>
      <c r="D239" s="5" t="n"/>
      <c r="E239" s="3" t="n"/>
      <c r="F239" s="3" t="n"/>
      <c r="G239" s="3" t="n"/>
      <c r="H239" s="3" t="n"/>
    </row>
    <row r="240">
      <c r="A240" s="3" t="n"/>
      <c r="B240" s="3" t="n"/>
      <c r="C240" s="4" t="n"/>
      <c r="D240" s="5" t="n"/>
      <c r="E240" s="3" t="n"/>
      <c r="F240" s="3" t="n"/>
      <c r="G240" s="3" t="n"/>
      <c r="H240" s="3" t="n"/>
    </row>
    <row r="241">
      <c r="A241" s="3" t="n"/>
      <c r="B241" s="3" t="n"/>
      <c r="C241" s="4" t="n"/>
      <c r="D241" s="5" t="n"/>
      <c r="E241" s="3" t="n"/>
      <c r="F241" s="3" t="n"/>
      <c r="G241" s="3" t="n"/>
      <c r="H241" s="3" t="n"/>
    </row>
    <row r="242">
      <c r="A242" s="3" t="n"/>
      <c r="B242" s="3" t="n"/>
      <c r="C242" s="4" t="n"/>
      <c r="D242" s="5" t="n"/>
      <c r="E242" s="3" t="n"/>
      <c r="F242" s="3" t="n"/>
      <c r="G242" s="3" t="n"/>
      <c r="H242" s="3" t="n"/>
    </row>
    <row r="243">
      <c r="A243" s="3" t="n"/>
      <c r="B243" s="3" t="n"/>
      <c r="C243" s="4" t="n"/>
      <c r="D243" s="5" t="n"/>
      <c r="E243" s="3" t="n"/>
      <c r="F243" s="3" t="n"/>
      <c r="G243" s="3" t="n"/>
      <c r="H243" s="3" t="n"/>
    </row>
    <row r="244">
      <c r="A244" s="3" t="n"/>
      <c r="B244" s="3" t="n"/>
      <c r="C244" s="4" t="n"/>
      <c r="D244" s="5" t="n"/>
      <c r="E244" s="3" t="n"/>
      <c r="F244" s="3" t="n"/>
      <c r="G244" s="3" t="n"/>
      <c r="H244" s="3" t="n"/>
    </row>
    <row r="245">
      <c r="A245" s="3" t="n"/>
      <c r="B245" s="3" t="n"/>
      <c r="C245" s="4" t="n"/>
      <c r="D245" s="5" t="n"/>
      <c r="E245" s="3" t="n"/>
      <c r="F245" s="3" t="n"/>
      <c r="G245" s="3" t="n"/>
      <c r="H245" s="3" t="n"/>
    </row>
    <row r="246">
      <c r="A246" s="3" t="n"/>
      <c r="B246" s="3" t="n"/>
      <c r="C246" s="4" t="n"/>
      <c r="D246" s="5" t="n"/>
      <c r="E246" s="3" t="n"/>
      <c r="F246" s="3" t="n"/>
      <c r="G246" s="3" t="n"/>
      <c r="H246" s="3" t="n"/>
    </row>
    <row r="247">
      <c r="A247" s="3" t="n"/>
      <c r="B247" s="3" t="n"/>
      <c r="C247" s="4" t="n"/>
      <c r="D247" s="5" t="n"/>
      <c r="E247" s="3" t="n"/>
      <c r="F247" s="3" t="n"/>
      <c r="G247" s="3" t="n"/>
      <c r="H247" s="3" t="n"/>
    </row>
    <row r="248">
      <c r="A248" s="3" t="n"/>
      <c r="B248" s="3" t="n"/>
      <c r="C248" s="4" t="n"/>
      <c r="D248" s="5" t="n"/>
      <c r="E248" s="3" t="n"/>
      <c r="F248" s="3" t="n"/>
      <c r="G248" s="3" t="n"/>
      <c r="H248" s="3" t="n"/>
    </row>
    <row r="249">
      <c r="A249" s="3" t="n"/>
      <c r="B249" s="3" t="n"/>
      <c r="C249" s="4" t="n"/>
      <c r="D249" s="5" t="n"/>
      <c r="E249" s="3" t="n"/>
      <c r="F249" s="3" t="n"/>
      <c r="G249" s="3" t="n"/>
      <c r="H249" s="3" t="n"/>
    </row>
    <row r="250">
      <c r="A250" s="3" t="n"/>
      <c r="B250" s="3" t="n"/>
      <c r="C250" s="4" t="n"/>
      <c r="D250" s="5" t="n"/>
      <c r="E250" s="3" t="n"/>
      <c r="F250" s="3" t="n"/>
      <c r="G250" s="3" t="n"/>
      <c r="H250" s="3" t="n"/>
    </row>
    <row r="251">
      <c r="A251" s="3" t="n"/>
      <c r="B251" s="3" t="n"/>
      <c r="C251" s="4" t="n"/>
      <c r="D251" s="5" t="n"/>
      <c r="E251" s="3" t="n"/>
      <c r="F251" s="3" t="n"/>
      <c r="G251" s="3" t="n"/>
      <c r="H251" s="3" t="n"/>
    </row>
    <row r="252">
      <c r="A252" s="3" t="n"/>
      <c r="B252" s="3" t="n"/>
      <c r="C252" s="4" t="n"/>
      <c r="D252" s="5" t="n"/>
      <c r="E252" s="3" t="n"/>
      <c r="F252" s="3" t="n"/>
      <c r="G252" s="3" t="n"/>
      <c r="H252" s="3" t="n"/>
    </row>
    <row r="253">
      <c r="A253" s="3" t="n"/>
      <c r="B253" s="3" t="n"/>
      <c r="C253" s="4" t="n"/>
      <c r="D253" s="5" t="n"/>
      <c r="E253" s="3" t="n"/>
      <c r="F253" s="3" t="n"/>
      <c r="G253" s="3" t="n"/>
      <c r="H253" s="3" t="n"/>
    </row>
    <row r="254">
      <c r="A254" s="3" t="n"/>
      <c r="B254" s="3" t="n"/>
      <c r="C254" s="4" t="n"/>
      <c r="D254" s="5" t="n"/>
      <c r="E254" s="3" t="n"/>
      <c r="F254" s="3" t="n"/>
      <c r="G254" s="3" t="n"/>
      <c r="H254" s="3" t="n"/>
    </row>
    <row r="255">
      <c r="A255" s="3" t="n"/>
      <c r="B255" s="3" t="n"/>
      <c r="C255" s="4" t="n"/>
      <c r="D255" s="5" t="n"/>
      <c r="E255" s="3" t="n"/>
      <c r="F255" s="3" t="n"/>
      <c r="G255" s="3" t="n"/>
      <c r="H255" s="3" t="n"/>
    </row>
    <row r="256">
      <c r="A256" s="3" t="n"/>
      <c r="B256" s="3" t="n"/>
      <c r="C256" s="4" t="n"/>
      <c r="D256" s="5" t="n"/>
      <c r="E256" s="3" t="n"/>
      <c r="F256" s="3" t="n"/>
      <c r="G256" s="3" t="n"/>
      <c r="H256" s="3" t="n"/>
    </row>
    <row r="257">
      <c r="A257" s="3" t="n"/>
      <c r="B257" s="3" t="n"/>
      <c r="C257" s="4" t="n"/>
      <c r="D257" s="5" t="n"/>
      <c r="E257" s="3" t="n"/>
      <c r="F257" s="3" t="n"/>
      <c r="G257" s="3" t="n"/>
      <c r="H257" s="3" t="n"/>
    </row>
    <row r="258">
      <c r="A258" s="3" t="n"/>
      <c r="B258" s="3" t="n"/>
      <c r="C258" s="4" t="n"/>
      <c r="D258" s="5" t="n"/>
      <c r="E258" s="3" t="n"/>
      <c r="F258" s="3" t="n"/>
      <c r="G258" s="3" t="n"/>
      <c r="H258" s="3" t="n"/>
    </row>
    <row r="259">
      <c r="A259" s="3" t="n"/>
      <c r="B259" s="3" t="n"/>
      <c r="C259" s="4" t="n"/>
      <c r="D259" s="5" t="n"/>
      <c r="E259" s="3" t="n"/>
      <c r="F259" s="3" t="n"/>
      <c r="G259" s="3" t="n"/>
      <c r="H259" s="3" t="n"/>
    </row>
    <row r="260">
      <c r="A260" s="3" t="n"/>
      <c r="B260" s="3" t="n"/>
      <c r="C260" s="4" t="n"/>
      <c r="D260" s="5" t="n"/>
      <c r="E260" s="3" t="n"/>
      <c r="F260" s="3" t="n"/>
      <c r="G260" s="3" t="n"/>
      <c r="H260" s="3" t="n"/>
    </row>
    <row r="261">
      <c r="A261" s="3" t="n"/>
      <c r="B261" s="3" t="n"/>
      <c r="C261" s="4" t="n"/>
      <c r="D261" s="5" t="n"/>
      <c r="E261" s="3" t="n"/>
      <c r="F261" s="3" t="n"/>
      <c r="G261" s="3" t="n"/>
      <c r="H261" s="3" t="n"/>
    </row>
    <row r="262">
      <c r="A262" s="3" t="n"/>
      <c r="B262" s="3" t="n"/>
      <c r="C262" s="4" t="n"/>
      <c r="D262" s="5" t="n"/>
      <c r="E262" s="3" t="n"/>
      <c r="F262" s="3" t="n"/>
      <c r="G262" s="3" t="n"/>
      <c r="H262" s="3" t="n"/>
    </row>
    <row r="263">
      <c r="A263" s="3" t="n"/>
      <c r="B263" s="3" t="n"/>
      <c r="C263" s="4" t="n"/>
      <c r="D263" s="5" t="n"/>
      <c r="E263" s="3" t="n"/>
      <c r="F263" s="3" t="n"/>
      <c r="G263" s="3" t="n"/>
      <c r="H263" s="3" t="n"/>
    </row>
    <row r="264">
      <c r="A264" s="3" t="n"/>
      <c r="B264" s="3" t="n"/>
      <c r="C264" s="4" t="n"/>
      <c r="D264" s="5" t="n"/>
      <c r="E264" s="3" t="n"/>
      <c r="F264" s="3" t="n"/>
      <c r="G264" s="3" t="n"/>
      <c r="H264" s="3" t="n"/>
    </row>
    <row r="265">
      <c r="A265" s="3" t="n"/>
      <c r="B265" s="3" t="n"/>
      <c r="C265" s="4" t="n"/>
      <c r="D265" s="5" t="n"/>
      <c r="E265" s="3" t="n"/>
      <c r="F265" s="3" t="n"/>
      <c r="G265" s="3" t="n"/>
      <c r="H265" s="3" t="n"/>
    </row>
    <row r="266">
      <c r="A266" s="3" t="n"/>
      <c r="B266" s="3" t="n"/>
      <c r="C266" s="4" t="n"/>
      <c r="D266" s="5" t="n"/>
      <c r="E266" s="3" t="n"/>
      <c r="F266" s="3" t="n"/>
      <c r="G266" s="3" t="n"/>
      <c r="H266" s="3" t="n"/>
    </row>
    <row r="267">
      <c r="A267" s="3" t="n"/>
      <c r="B267" s="3" t="n"/>
      <c r="C267" s="4" t="n"/>
      <c r="D267" s="5" t="n"/>
      <c r="E267" s="3" t="n"/>
      <c r="F267" s="3" t="n"/>
      <c r="G267" s="3" t="n"/>
      <c r="H267" s="3" t="n"/>
    </row>
    <row r="268">
      <c r="A268" s="3" t="n"/>
      <c r="B268" s="3" t="n"/>
      <c r="C268" s="4" t="n"/>
      <c r="D268" s="5" t="n"/>
      <c r="E268" s="3" t="n"/>
      <c r="F268" s="3" t="n"/>
      <c r="G268" s="3" t="n"/>
      <c r="H268" s="3" t="n"/>
    </row>
    <row r="269">
      <c r="A269" s="3" t="n"/>
      <c r="B269" s="3" t="n"/>
      <c r="C269" s="4" t="n"/>
      <c r="D269" s="5" t="n"/>
      <c r="E269" s="3" t="n"/>
      <c r="F269" s="3" t="n"/>
      <c r="G269" s="3" t="n"/>
      <c r="H269" s="3" t="n"/>
    </row>
    <row r="270">
      <c r="A270" s="3" t="n"/>
      <c r="B270" s="3" t="n"/>
      <c r="C270" s="4" t="n"/>
      <c r="D270" s="5" t="n"/>
      <c r="E270" s="3" t="n"/>
      <c r="F270" s="3" t="n"/>
      <c r="G270" s="3" t="n"/>
      <c r="H270" s="3" t="n"/>
    </row>
    <row r="271">
      <c r="A271" s="3" t="n"/>
      <c r="B271" s="3" t="n"/>
      <c r="C271" s="4" t="n"/>
      <c r="D271" s="5" t="n"/>
      <c r="E271" s="3" t="n"/>
      <c r="F271" s="3" t="n"/>
      <c r="G271" s="3" t="n"/>
      <c r="H271" s="3" t="n"/>
    </row>
    <row r="272">
      <c r="A272" s="3" t="n"/>
      <c r="B272" s="3" t="n"/>
      <c r="C272" s="4" t="n"/>
      <c r="D272" s="5" t="n"/>
      <c r="E272" s="3" t="n"/>
      <c r="F272" s="3" t="n"/>
      <c r="G272" s="3" t="n"/>
      <c r="H272" s="3" t="n"/>
    </row>
    <row r="273">
      <c r="A273" s="3" t="n"/>
      <c r="B273" s="3" t="n"/>
      <c r="C273" s="4" t="n"/>
      <c r="D273" s="5" t="n"/>
      <c r="E273" s="3" t="n"/>
      <c r="F273" s="3" t="n"/>
      <c r="G273" s="3" t="n"/>
      <c r="H273" s="3" t="n"/>
    </row>
    <row r="274">
      <c r="A274" s="3" t="n"/>
      <c r="B274" s="3" t="n"/>
      <c r="C274" s="4" t="n"/>
      <c r="D274" s="5" t="n"/>
      <c r="E274" s="3" t="n"/>
      <c r="F274" s="3" t="n"/>
      <c r="G274" s="3" t="n"/>
      <c r="H274" s="3" t="n"/>
    </row>
    <row r="275">
      <c r="A275" s="3" t="n"/>
      <c r="B275" s="3" t="n"/>
      <c r="C275" s="4" t="n"/>
      <c r="D275" s="5" t="n"/>
      <c r="E275" s="3" t="n"/>
      <c r="F275" s="3" t="n"/>
      <c r="G275" s="3" t="n"/>
      <c r="H275" s="3" t="n"/>
    </row>
    <row r="276">
      <c r="A276" s="3" t="n"/>
      <c r="B276" s="3" t="n"/>
      <c r="C276" s="4" t="n"/>
      <c r="D276" s="5" t="n"/>
      <c r="E276" s="3" t="n"/>
      <c r="F276" s="3" t="n"/>
      <c r="G276" s="3" t="n"/>
      <c r="H276" s="3" t="n"/>
    </row>
    <row r="277">
      <c r="A277" s="3" t="n"/>
      <c r="B277" s="3" t="n"/>
      <c r="C277" s="4" t="n"/>
      <c r="D277" s="5" t="n"/>
      <c r="E277" s="3" t="n"/>
      <c r="F277" s="3" t="n"/>
      <c r="G277" s="3" t="n"/>
      <c r="H277" s="3" t="n"/>
    </row>
    <row r="278">
      <c r="A278" s="3" t="n"/>
      <c r="B278" s="3" t="n"/>
      <c r="C278" s="4" t="n"/>
      <c r="D278" s="5" t="n"/>
      <c r="E278" s="3" t="n"/>
      <c r="F278" s="3" t="n"/>
      <c r="G278" s="3" t="n"/>
      <c r="H278" s="3" t="n"/>
    </row>
    <row r="279">
      <c r="A279" s="3" t="n"/>
      <c r="B279" s="3" t="n"/>
      <c r="C279" s="4" t="n"/>
      <c r="D279" s="5" t="n"/>
      <c r="E279" s="3" t="n"/>
      <c r="F279" s="3" t="n"/>
      <c r="G279" s="3" t="n"/>
      <c r="H279" s="3" t="n"/>
    </row>
    <row r="280">
      <c r="A280" s="3" t="n"/>
      <c r="B280" s="3" t="n"/>
      <c r="C280" s="4" t="n"/>
      <c r="D280" s="5" t="n"/>
      <c r="E280" s="3" t="n"/>
      <c r="F280" s="3" t="n"/>
      <c r="G280" s="3" t="n"/>
      <c r="H280" s="3" t="n"/>
    </row>
    <row r="281">
      <c r="A281" s="3" t="n"/>
      <c r="B281" s="3" t="n"/>
      <c r="C281" s="4" t="n"/>
      <c r="D281" s="5" t="n"/>
      <c r="E281" s="3" t="n"/>
      <c r="F281" s="3" t="n"/>
      <c r="G281" s="3" t="n"/>
      <c r="H281" s="3" t="n"/>
    </row>
    <row r="282">
      <c r="A282" s="3" t="n"/>
      <c r="B282" s="3" t="n"/>
      <c r="C282" s="4" t="n"/>
      <c r="D282" s="5" t="n"/>
      <c r="E282" s="3" t="n"/>
      <c r="F282" s="3" t="n"/>
      <c r="G282" s="3" t="n"/>
      <c r="H282" s="3" t="n"/>
    </row>
    <row r="283">
      <c r="A283" s="3" t="n"/>
      <c r="B283" s="3" t="n"/>
      <c r="C283" s="4" t="n"/>
      <c r="D283" s="5" t="n"/>
      <c r="E283" s="3" t="n"/>
      <c r="F283" s="3" t="n"/>
      <c r="G283" s="3" t="n"/>
      <c r="H283" s="3" t="n"/>
    </row>
    <row r="284">
      <c r="A284" s="3" t="n"/>
      <c r="B284" s="3" t="n"/>
      <c r="C284" s="4" t="n"/>
      <c r="D284" s="5" t="n"/>
      <c r="E284" s="3" t="n"/>
      <c r="F284" s="3" t="n"/>
      <c r="G284" s="3" t="n"/>
      <c r="H284" s="3" t="n"/>
    </row>
    <row r="285">
      <c r="A285" s="3" t="n"/>
      <c r="B285" s="3" t="n"/>
      <c r="C285" s="4" t="n"/>
      <c r="D285" s="5" t="n"/>
      <c r="E285" s="3" t="n"/>
      <c r="F285" s="3" t="n"/>
      <c r="G285" s="3" t="n"/>
      <c r="H285" s="3" t="n"/>
    </row>
    <row r="286">
      <c r="A286" s="3" t="n"/>
      <c r="B286" s="3" t="n"/>
      <c r="C286" s="4" t="n"/>
      <c r="D286" s="5" t="n"/>
      <c r="E286" s="3" t="n"/>
      <c r="F286" s="3" t="n"/>
      <c r="G286" s="3" t="n"/>
      <c r="H286" s="3" t="n"/>
    </row>
    <row r="287">
      <c r="A287" s="3" t="n"/>
      <c r="B287" s="3" t="n"/>
      <c r="C287" s="4" t="n"/>
      <c r="D287" s="5" t="n"/>
      <c r="E287" s="3" t="n"/>
      <c r="F287" s="3" t="n"/>
      <c r="G287" s="3" t="n"/>
      <c r="H287" s="3" t="n"/>
    </row>
    <row r="288">
      <c r="A288" s="3" t="n"/>
      <c r="B288" s="3" t="n"/>
      <c r="C288" s="4" t="n"/>
      <c r="D288" s="5" t="n"/>
      <c r="E288" s="3" t="n"/>
      <c r="F288" s="3" t="n"/>
      <c r="G288" s="3" t="n"/>
      <c r="H288" s="3" t="n"/>
    </row>
    <row r="289">
      <c r="A289" s="3" t="n"/>
      <c r="B289" s="3" t="n"/>
      <c r="C289" s="4" t="n"/>
      <c r="D289" s="5" t="n"/>
      <c r="E289" s="3" t="n"/>
      <c r="F289" s="3" t="n"/>
      <c r="G289" s="3" t="n"/>
      <c r="H289" s="3" t="n"/>
    </row>
    <row r="290">
      <c r="A290" s="3" t="n"/>
      <c r="B290" s="3" t="n"/>
      <c r="C290" s="4" t="n"/>
      <c r="D290" s="5" t="n"/>
      <c r="E290" s="3" t="n"/>
      <c r="F290" s="3" t="n"/>
      <c r="G290" s="3" t="n"/>
      <c r="H290" s="3" t="n"/>
    </row>
    <row r="291">
      <c r="A291" s="3" t="n"/>
      <c r="B291" s="3" t="n"/>
      <c r="C291" s="4" t="n"/>
      <c r="D291" s="5" t="n"/>
      <c r="E291" s="3" t="n"/>
      <c r="F291" s="3" t="n"/>
      <c r="G291" s="3" t="n"/>
      <c r="H291" s="3" t="n"/>
    </row>
    <row r="292">
      <c r="A292" s="3" t="n"/>
      <c r="B292" s="3" t="n"/>
      <c r="C292" s="4" t="n"/>
      <c r="D292" s="5" t="n"/>
      <c r="E292" s="3" t="n"/>
      <c r="F292" s="3" t="n"/>
      <c r="G292" s="3" t="n"/>
      <c r="H292" s="3" t="n"/>
    </row>
    <row r="293">
      <c r="A293" s="3" t="n"/>
      <c r="B293" s="3" t="n"/>
      <c r="C293" s="4" t="n"/>
      <c r="D293" s="5" t="n"/>
      <c r="E293" s="3" t="n"/>
      <c r="F293" s="3" t="n"/>
      <c r="G293" s="3" t="n"/>
      <c r="H293" s="3" t="n"/>
    </row>
    <row r="294">
      <c r="A294" s="3" t="n"/>
      <c r="B294" s="3" t="n"/>
      <c r="C294" s="4" t="n"/>
      <c r="D294" s="5" t="n"/>
      <c r="E294" s="3" t="n"/>
      <c r="F294" s="3" t="n"/>
      <c r="G294" s="3" t="n"/>
      <c r="H294" s="3" t="n"/>
    </row>
    <row r="295">
      <c r="A295" s="3" t="n"/>
      <c r="B295" s="3" t="n"/>
      <c r="C295" s="4" t="n"/>
      <c r="D295" s="5" t="n"/>
      <c r="E295" s="3" t="n"/>
      <c r="F295" s="3" t="n"/>
      <c r="G295" s="3" t="n"/>
      <c r="H295" s="3" t="n"/>
    </row>
    <row r="296">
      <c r="A296" s="3" t="n"/>
      <c r="B296" s="3" t="n"/>
      <c r="C296" s="4" t="n"/>
      <c r="D296" s="5" t="n"/>
      <c r="E296" s="3" t="n"/>
      <c r="F296" s="3" t="n"/>
      <c r="G296" s="3" t="n"/>
      <c r="H296" s="3" t="n"/>
    </row>
    <row r="297">
      <c r="A297" s="3" t="n"/>
      <c r="B297" s="3" t="n"/>
      <c r="C297" s="4" t="n"/>
      <c r="D297" s="5" t="n"/>
      <c r="E297" s="3" t="n"/>
      <c r="F297" s="3" t="n"/>
      <c r="G297" s="3" t="n"/>
      <c r="H297" s="3" t="n"/>
    </row>
    <row r="298">
      <c r="A298" s="3" t="n"/>
      <c r="B298" s="3" t="n"/>
      <c r="C298" s="4" t="n"/>
      <c r="D298" s="5" t="n"/>
      <c r="E298" s="3" t="n"/>
      <c r="F298" s="3" t="n"/>
      <c r="G298" s="3" t="n"/>
      <c r="H298" s="3" t="n"/>
    </row>
    <row r="299">
      <c r="A299" s="3" t="n"/>
      <c r="B299" s="3" t="n"/>
      <c r="C299" s="4" t="n"/>
      <c r="D299" s="5" t="n"/>
      <c r="E299" s="3" t="n"/>
      <c r="F299" s="3" t="n"/>
      <c r="G299" s="3" t="n"/>
      <c r="H299" s="3" t="n"/>
    </row>
    <row r="300">
      <c r="A300" s="3" t="n"/>
      <c r="B300" s="3" t="n"/>
      <c r="C300" s="4" t="n"/>
      <c r="D300" s="5" t="n"/>
      <c r="E300" s="3" t="n"/>
      <c r="F300" s="3" t="n"/>
      <c r="G300" s="3" t="n"/>
      <c r="H300" s="3" t="n"/>
    </row>
    <row r="301">
      <c r="A301" s="3" t="n"/>
      <c r="B301" s="3" t="n"/>
      <c r="C301" s="4" t="n"/>
      <c r="D301" s="5" t="n"/>
      <c r="E301" s="3" t="n"/>
      <c r="F301" s="3" t="n"/>
      <c r="G301" s="3" t="n"/>
      <c r="H301" s="3" t="n"/>
    </row>
    <row r="302">
      <c r="A302" s="3" t="n"/>
      <c r="B302" s="3" t="n"/>
      <c r="C302" s="4" t="n"/>
      <c r="D302" s="5" t="n"/>
      <c r="E302" s="3" t="n"/>
      <c r="F302" s="3" t="n"/>
      <c r="G302" s="3" t="n"/>
      <c r="H302" s="3" t="n"/>
    </row>
    <row r="303">
      <c r="A303" s="3" t="n"/>
      <c r="B303" s="3" t="n"/>
      <c r="C303" s="4" t="n"/>
      <c r="D303" s="5" t="n"/>
      <c r="E303" s="3" t="n"/>
      <c r="F303" s="3" t="n"/>
      <c r="G303" s="3" t="n"/>
      <c r="H303" s="3" t="n"/>
    </row>
    <row r="304">
      <c r="A304" s="3" t="n"/>
      <c r="B304" s="3" t="n"/>
      <c r="C304" s="4" t="n"/>
      <c r="D304" s="5" t="n"/>
      <c r="E304" s="3" t="n"/>
      <c r="F304" s="3" t="n"/>
      <c r="G304" s="3" t="n"/>
      <c r="H304" s="3" t="n"/>
    </row>
    <row r="305">
      <c r="A305" s="3" t="n"/>
      <c r="B305" s="3" t="n"/>
      <c r="C305" s="4" t="n"/>
      <c r="D305" s="5" t="n"/>
      <c r="E305" s="3" t="n"/>
      <c r="F305" s="3" t="n"/>
      <c r="G305" s="3" t="n"/>
      <c r="H305" s="3" t="n"/>
    </row>
    <row r="306">
      <c r="A306" s="3" t="n"/>
      <c r="B306" s="3" t="n"/>
      <c r="C306" s="4" t="n"/>
      <c r="D306" s="5" t="n"/>
      <c r="E306" s="3" t="n"/>
      <c r="F306" s="3" t="n"/>
      <c r="G306" s="3" t="n"/>
      <c r="H306" s="3" t="n"/>
    </row>
    <row r="307">
      <c r="A307" s="3" t="n"/>
      <c r="B307" s="3" t="n"/>
      <c r="C307" s="4" t="n"/>
      <c r="D307" s="5" t="n"/>
      <c r="E307" s="3" t="n"/>
      <c r="F307" s="3" t="n"/>
      <c r="G307" s="3" t="n"/>
      <c r="H307" s="3" t="n"/>
    </row>
    <row r="308">
      <c r="A308" s="3" t="n"/>
      <c r="B308" s="3" t="n"/>
      <c r="C308" s="4" t="n"/>
      <c r="D308" s="5" t="n"/>
      <c r="E308" s="3" t="n"/>
      <c r="F308" s="3" t="n"/>
      <c r="G308" s="3" t="n"/>
      <c r="H308" s="3" t="n"/>
    </row>
    <row r="309">
      <c r="A309" s="3" t="n"/>
      <c r="B309" s="3" t="n"/>
      <c r="C309" s="4" t="n"/>
      <c r="D309" s="5" t="n"/>
      <c r="E309" s="3" t="n"/>
      <c r="F309" s="3" t="n"/>
      <c r="G309" s="3" t="n"/>
      <c r="H309" s="3" t="n"/>
    </row>
    <row r="310">
      <c r="A310" s="3" t="n"/>
      <c r="B310" s="3" t="n"/>
      <c r="C310" s="4" t="n"/>
      <c r="D310" s="5" t="n"/>
      <c r="E310" s="3" t="n"/>
      <c r="F310" s="3" t="n"/>
      <c r="G310" s="3" t="n"/>
      <c r="H310" s="3" t="n"/>
    </row>
    <row r="311">
      <c r="A311" s="3" t="n"/>
      <c r="B311" s="3" t="n"/>
      <c r="C311" s="4" t="n"/>
      <c r="D311" s="5" t="n"/>
      <c r="E311" s="3" t="n"/>
      <c r="F311" s="3" t="n"/>
      <c r="G311" s="3" t="n"/>
      <c r="H311" s="3" t="n"/>
    </row>
    <row r="312">
      <c r="A312" s="3" t="n"/>
      <c r="B312" s="3" t="n"/>
      <c r="C312" s="4" t="n"/>
      <c r="D312" s="5" t="n"/>
      <c r="E312" s="3" t="n"/>
      <c r="F312" s="3" t="n"/>
      <c r="G312" s="3" t="n"/>
      <c r="H312" s="3" t="n"/>
    </row>
    <row r="313">
      <c r="A313" s="3" t="n"/>
      <c r="B313" s="3" t="n"/>
      <c r="C313" s="4" t="n"/>
      <c r="D313" s="5" t="n"/>
      <c r="E313" s="3" t="n"/>
      <c r="F313" s="3" t="n"/>
      <c r="G313" s="3" t="n"/>
      <c r="H313" s="3" t="n"/>
    </row>
    <row r="314">
      <c r="A314" s="3" t="n"/>
      <c r="B314" s="3" t="n"/>
      <c r="C314" s="4" t="n"/>
      <c r="D314" s="5" t="n"/>
      <c r="E314" s="3" t="n"/>
      <c r="F314" s="3" t="n"/>
      <c r="G314" s="3" t="n"/>
      <c r="H314" s="3" t="n"/>
    </row>
    <row r="315">
      <c r="A315" s="3" t="n"/>
      <c r="B315" s="3" t="n"/>
      <c r="C315" s="4" t="n"/>
      <c r="D315" s="5" t="n"/>
      <c r="E315" s="3" t="n"/>
      <c r="F315" s="3" t="n"/>
      <c r="G315" s="3" t="n"/>
      <c r="H315" s="3" t="n"/>
    </row>
    <row r="316">
      <c r="A316" s="3" t="n"/>
      <c r="B316" s="3" t="n"/>
      <c r="C316" s="4" t="n"/>
      <c r="D316" s="5" t="n"/>
      <c r="E316" s="3" t="n"/>
      <c r="F316" s="3" t="n"/>
      <c r="G316" s="3" t="n"/>
      <c r="H316" s="3" t="n"/>
    </row>
    <row r="317">
      <c r="A317" s="3" t="n"/>
      <c r="B317" s="3" t="n"/>
      <c r="C317" s="4" t="n"/>
      <c r="D317" s="5" t="n"/>
      <c r="E317" s="3" t="n"/>
      <c r="F317" s="3" t="n"/>
      <c r="G317" s="3" t="n"/>
      <c r="H317" s="3" t="n"/>
    </row>
    <row r="318">
      <c r="A318" s="3" t="n"/>
      <c r="B318" s="3" t="n"/>
      <c r="C318" s="4" t="n"/>
      <c r="D318" s="5" t="n"/>
      <c r="E318" s="3" t="n"/>
      <c r="F318" s="3" t="n"/>
      <c r="G318" s="3" t="n"/>
      <c r="H318" s="3" t="n"/>
    </row>
    <row r="319">
      <c r="A319" s="3" t="n"/>
      <c r="B319" s="3" t="n"/>
      <c r="C319" s="4" t="n"/>
      <c r="D319" s="5" t="n"/>
      <c r="E319" s="3" t="n"/>
      <c r="F319" s="3" t="n"/>
      <c r="G319" s="3" t="n"/>
      <c r="H319" s="3" t="n"/>
    </row>
    <row r="320">
      <c r="A320" s="3" t="n"/>
      <c r="B320" s="3" t="n"/>
      <c r="C320" s="4" t="n"/>
      <c r="D320" s="5" t="n"/>
      <c r="E320" s="3" t="n"/>
      <c r="F320" s="3" t="n"/>
      <c r="G320" s="3" t="n"/>
      <c r="H320" s="3" t="n"/>
    </row>
    <row r="321">
      <c r="A321" s="3" t="n"/>
      <c r="B321" s="3" t="n"/>
      <c r="C321" s="4" t="n"/>
      <c r="D321" s="5" t="n"/>
      <c r="E321" s="3" t="n"/>
      <c r="F321" s="3" t="n"/>
      <c r="G321" s="3" t="n"/>
      <c r="H321" s="3" t="n"/>
    </row>
    <row r="322">
      <c r="A322" s="3" t="n"/>
      <c r="B322" s="3" t="n"/>
      <c r="C322" s="4" t="n"/>
      <c r="D322" s="5" t="n"/>
      <c r="E322" s="3" t="n"/>
      <c r="F322" s="3" t="n"/>
      <c r="G322" s="3" t="n"/>
      <c r="H322" s="3" t="n"/>
    </row>
    <row r="323">
      <c r="A323" s="3" t="n"/>
      <c r="B323" s="3" t="n"/>
      <c r="C323" s="4" t="n"/>
      <c r="D323" s="5" t="n"/>
      <c r="E323" s="3" t="n"/>
      <c r="F323" s="3" t="n"/>
      <c r="G323" s="3" t="n"/>
      <c r="H323" s="3" t="n"/>
    </row>
    <row r="324">
      <c r="A324" s="3" t="n"/>
      <c r="B324" s="3" t="n"/>
      <c r="C324" s="4" t="n"/>
      <c r="D324" s="5" t="n"/>
      <c r="E324" s="3" t="n"/>
      <c r="F324" s="3" t="n"/>
      <c r="G324" s="3" t="n"/>
      <c r="H324" s="3" t="n"/>
    </row>
    <row r="325">
      <c r="A325" s="3" t="n"/>
      <c r="B325" s="3" t="n"/>
      <c r="C325" s="4" t="n"/>
      <c r="D325" s="5" t="n"/>
      <c r="E325" s="3" t="n"/>
      <c r="F325" s="3" t="n"/>
      <c r="G325" s="3" t="n"/>
      <c r="H325" s="3" t="n"/>
    </row>
    <row r="326">
      <c r="A326" s="3" t="n"/>
      <c r="B326" s="3" t="n"/>
      <c r="C326" s="4" t="n"/>
      <c r="D326" s="5" t="n"/>
      <c r="E326" s="3" t="n"/>
      <c r="F326" s="3" t="n"/>
      <c r="G326" s="3" t="n"/>
      <c r="H326" s="3" t="n"/>
    </row>
    <row r="327">
      <c r="A327" s="3" t="n"/>
      <c r="B327" s="3" t="n"/>
      <c r="C327" s="4" t="n"/>
      <c r="D327" s="5" t="n"/>
      <c r="E327" s="3" t="n"/>
      <c r="F327" s="3" t="n"/>
      <c r="G327" s="3" t="n"/>
      <c r="H327" s="3" t="n"/>
    </row>
    <row r="328">
      <c r="A328" s="3" t="n"/>
      <c r="B328" s="3" t="n"/>
      <c r="C328" s="4" t="n"/>
      <c r="D328" s="5" t="n"/>
      <c r="E328" s="3" t="n"/>
      <c r="F328" s="3" t="n"/>
      <c r="G328" s="3" t="n"/>
      <c r="H328" s="3" t="n"/>
    </row>
    <row r="329">
      <c r="A329" s="3" t="n"/>
      <c r="B329" s="3" t="n"/>
      <c r="C329" s="4" t="n"/>
      <c r="D329" s="5" t="n"/>
      <c r="E329" s="3" t="n"/>
      <c r="F329" s="3" t="n"/>
      <c r="G329" s="3" t="n"/>
      <c r="H329" s="3" t="n"/>
    </row>
    <row r="330">
      <c r="A330" s="3" t="n"/>
      <c r="B330" s="3" t="n"/>
      <c r="C330" s="4" t="n"/>
      <c r="D330" s="5" t="n"/>
      <c r="E330" s="3" t="n"/>
      <c r="F330" s="3" t="n"/>
      <c r="G330" s="3" t="n"/>
      <c r="H330" s="3" t="n"/>
    </row>
    <row r="331">
      <c r="A331" s="3" t="n"/>
      <c r="B331" s="3" t="n"/>
      <c r="C331" s="4" t="n"/>
      <c r="D331" s="5" t="n"/>
      <c r="E331" s="3" t="n"/>
      <c r="F331" s="3" t="n"/>
      <c r="G331" s="3" t="n"/>
      <c r="H331" s="3" t="n"/>
    </row>
    <row r="332">
      <c r="A332" s="3" t="n"/>
      <c r="B332" s="3" t="n"/>
      <c r="C332" s="4" t="n"/>
      <c r="D332" s="5" t="n"/>
      <c r="E332" s="3" t="n"/>
      <c r="F332" s="3" t="n"/>
      <c r="G332" s="3" t="n"/>
      <c r="H332" s="3" t="n"/>
    </row>
    <row r="333">
      <c r="A333" s="3" t="n"/>
      <c r="B333" s="3" t="n"/>
      <c r="C333" s="4" t="n"/>
      <c r="D333" s="5" t="n"/>
      <c r="E333" s="3" t="n"/>
      <c r="F333" s="3" t="n"/>
      <c r="G333" s="3" t="n"/>
      <c r="H333" s="3" t="n"/>
    </row>
    <row r="334">
      <c r="A334" s="3" t="n"/>
      <c r="B334" s="3" t="n"/>
      <c r="C334" s="4" t="n"/>
      <c r="D334" s="5" t="n"/>
      <c r="E334" s="3" t="n"/>
      <c r="F334" s="3" t="n"/>
      <c r="G334" s="3" t="n"/>
      <c r="H334" s="3" t="n"/>
    </row>
    <row r="335">
      <c r="A335" s="3" t="n"/>
      <c r="B335" s="3" t="n"/>
      <c r="C335" s="4" t="n"/>
      <c r="D335" s="5" t="n"/>
      <c r="E335" s="3" t="n"/>
      <c r="F335" s="3" t="n"/>
      <c r="G335" s="3" t="n"/>
      <c r="H335" s="3" t="n"/>
    </row>
    <row r="336">
      <c r="A336" s="3" t="n"/>
      <c r="B336" s="3" t="n"/>
      <c r="C336" s="4" t="n"/>
      <c r="D336" s="5" t="n"/>
      <c r="E336" s="3" t="n"/>
      <c r="F336" s="3" t="n"/>
      <c r="G336" s="3" t="n"/>
      <c r="H336" s="3" t="n"/>
    </row>
    <row r="337">
      <c r="A337" s="3" t="n"/>
      <c r="B337" s="3" t="n"/>
      <c r="C337" s="4" t="n"/>
      <c r="D337" s="5" t="n"/>
      <c r="E337" s="3" t="n"/>
      <c r="F337" s="3" t="n"/>
      <c r="G337" s="3" t="n"/>
      <c r="H337" s="3" t="n"/>
    </row>
    <row r="338">
      <c r="A338" s="3" t="n"/>
      <c r="B338" s="3" t="n"/>
      <c r="C338" s="4" t="n"/>
      <c r="D338" s="5" t="n"/>
      <c r="E338" s="3" t="n"/>
      <c r="F338" s="3" t="n"/>
      <c r="G338" s="3" t="n"/>
      <c r="H338" s="3" t="n"/>
    </row>
    <row r="339">
      <c r="A339" s="3" t="n"/>
      <c r="B339" s="3" t="n"/>
      <c r="C339" s="4" t="n"/>
      <c r="D339" s="5" t="n"/>
      <c r="E339" s="3" t="n"/>
      <c r="F339" s="3" t="n"/>
      <c r="G339" s="3" t="n"/>
      <c r="H339" s="3" t="n"/>
    </row>
    <row r="340">
      <c r="A340" s="3" t="n"/>
      <c r="B340" s="3" t="n"/>
      <c r="C340" s="4" t="n"/>
      <c r="D340" s="5" t="n"/>
      <c r="E340" s="3" t="n"/>
      <c r="F340" s="3" t="n"/>
      <c r="G340" s="3" t="n"/>
      <c r="H340" s="3" t="n"/>
    </row>
    <row r="341">
      <c r="A341" s="3" t="n"/>
      <c r="B341" s="3" t="n"/>
      <c r="C341" s="4" t="n"/>
      <c r="D341" s="5" t="n"/>
      <c r="E341" s="3" t="n"/>
      <c r="F341" s="3" t="n"/>
      <c r="G341" s="3" t="n"/>
      <c r="H341" s="3" t="n"/>
    </row>
    <row r="342">
      <c r="A342" s="3" t="n"/>
      <c r="B342" s="3" t="n"/>
      <c r="C342" s="4" t="n"/>
      <c r="D342" s="5" t="n"/>
      <c r="E342" s="3" t="n"/>
      <c r="F342" s="3" t="n"/>
      <c r="G342" s="3" t="n"/>
      <c r="H342" s="3" t="n"/>
    </row>
    <row r="343">
      <c r="A343" s="3" t="n"/>
      <c r="B343" s="3" t="n"/>
      <c r="C343" s="4" t="n"/>
      <c r="D343" s="5" t="n"/>
      <c r="E343" s="3" t="n"/>
      <c r="F343" s="3" t="n"/>
      <c r="G343" s="3" t="n"/>
      <c r="H343" s="3" t="n"/>
    </row>
    <row r="344">
      <c r="A344" s="3" t="n"/>
      <c r="B344" s="3" t="n"/>
      <c r="C344" s="4" t="n"/>
      <c r="D344" s="5" t="n"/>
      <c r="E344" s="3" t="n"/>
      <c r="F344" s="3" t="n"/>
      <c r="G344" s="3" t="n"/>
      <c r="H344" s="3" t="n"/>
    </row>
    <row r="345">
      <c r="A345" s="3" t="n"/>
      <c r="B345" s="3" t="n"/>
      <c r="C345" s="4" t="n"/>
      <c r="D345" s="5" t="n"/>
      <c r="E345" s="3" t="n"/>
      <c r="F345" s="3" t="n"/>
      <c r="G345" s="3" t="n"/>
      <c r="H345" s="3" t="n"/>
    </row>
    <row r="346">
      <c r="A346" s="3" t="n"/>
      <c r="B346" s="3" t="n"/>
      <c r="C346" s="4" t="n"/>
      <c r="D346" s="5" t="n"/>
      <c r="E346" s="3" t="n"/>
      <c r="F346" s="3" t="n"/>
      <c r="G346" s="3" t="n"/>
      <c r="H346" s="3" t="n"/>
    </row>
    <row r="347">
      <c r="A347" s="3" t="n"/>
      <c r="B347" s="3" t="n"/>
      <c r="C347" s="4" t="n"/>
      <c r="D347" s="5" t="n"/>
      <c r="E347" s="3" t="n"/>
      <c r="F347" s="3" t="n"/>
      <c r="G347" s="3" t="n"/>
      <c r="H347" s="3" t="n"/>
    </row>
    <row r="348">
      <c r="A348" s="3" t="n"/>
      <c r="B348" s="3" t="n"/>
      <c r="C348" s="4" t="n"/>
      <c r="D348" s="5" t="n"/>
      <c r="E348" s="3" t="n"/>
      <c r="F348" s="3" t="n"/>
      <c r="G348" s="3" t="n"/>
      <c r="H348" s="3" t="n"/>
    </row>
    <row r="349">
      <c r="A349" s="3" t="n"/>
      <c r="B349" s="3" t="n"/>
      <c r="C349" s="4" t="n"/>
      <c r="D349" s="5" t="n"/>
      <c r="E349" s="3" t="n"/>
      <c r="F349" s="3" t="n"/>
      <c r="G349" s="3" t="n"/>
      <c r="H349" s="3" t="n"/>
    </row>
    <row r="350">
      <c r="A350" s="3" t="n"/>
      <c r="B350" s="3" t="n"/>
      <c r="C350" s="4" t="n"/>
      <c r="D350" s="5" t="n"/>
      <c r="E350" s="3" t="n"/>
      <c r="F350" s="3" t="n"/>
      <c r="G350" s="3" t="n"/>
      <c r="H350" s="3" t="n"/>
    </row>
    <row r="351">
      <c r="A351" s="3" t="n"/>
      <c r="B351" s="3" t="n"/>
      <c r="C351" s="4" t="n"/>
      <c r="D351" s="5" t="n"/>
      <c r="E351" s="3" t="n"/>
      <c r="F351" s="3" t="n"/>
      <c r="G351" s="3" t="n"/>
      <c r="H351" s="3" t="n"/>
    </row>
    <row r="352">
      <c r="A352" s="3" t="n"/>
      <c r="B352" s="3" t="n"/>
      <c r="C352" s="4" t="n"/>
      <c r="D352" s="5" t="n"/>
      <c r="E352" s="3" t="n"/>
      <c r="F352" s="3" t="n"/>
      <c r="G352" s="3" t="n"/>
      <c r="H352" s="3" t="n"/>
    </row>
    <row r="353">
      <c r="A353" s="3" t="n"/>
      <c r="B353" s="3" t="n"/>
      <c r="C353" s="4" t="n"/>
      <c r="D353" s="5" t="n"/>
      <c r="E353" s="3" t="n"/>
      <c r="F353" s="3" t="n"/>
      <c r="G353" s="3" t="n"/>
      <c r="H353" s="3" t="n"/>
    </row>
    <row r="354">
      <c r="A354" s="3" t="n"/>
      <c r="B354" s="3" t="n"/>
      <c r="C354" s="4" t="n"/>
      <c r="D354" s="5" t="n"/>
      <c r="E354" s="3" t="n"/>
      <c r="F354" s="3" t="n"/>
      <c r="G354" s="3" t="n"/>
      <c r="H354" s="3" t="n"/>
    </row>
    <row r="355">
      <c r="A355" s="3" t="n"/>
      <c r="B355" s="3" t="n"/>
      <c r="C355" s="4" t="n"/>
      <c r="D355" s="5" t="n"/>
      <c r="E355" s="3" t="n"/>
      <c r="F355" s="3" t="n"/>
      <c r="G355" s="3" t="n"/>
      <c r="H355" s="3" t="n"/>
    </row>
    <row r="356">
      <c r="A356" s="3" t="n"/>
      <c r="B356" s="3" t="n"/>
      <c r="C356" s="4" t="n"/>
      <c r="D356" s="5" t="n"/>
      <c r="E356" s="3" t="n"/>
      <c r="F356" s="3" t="n"/>
      <c r="G356" s="3" t="n"/>
      <c r="H356" s="3" t="n"/>
    </row>
    <row r="357">
      <c r="A357" s="3" t="n"/>
      <c r="B357" s="3" t="n"/>
      <c r="C357" s="4" t="n"/>
      <c r="D357" s="5" t="n"/>
      <c r="E357" s="3" t="n"/>
      <c r="F357" s="3" t="n"/>
      <c r="G357" s="3" t="n"/>
      <c r="H357" s="3" t="n"/>
    </row>
    <row r="358">
      <c r="A358" s="3" t="n"/>
      <c r="B358" s="3" t="n"/>
      <c r="C358" s="4" t="n"/>
      <c r="D358" s="5" t="n"/>
      <c r="E358" s="3" t="n"/>
      <c r="F358" s="3" t="n"/>
      <c r="G358" s="3" t="n"/>
      <c r="H358" s="3" t="n"/>
    </row>
    <row r="359">
      <c r="A359" s="3" t="n"/>
      <c r="B359" s="3" t="n"/>
      <c r="C359" s="4" t="n"/>
      <c r="D359" s="5" t="n"/>
      <c r="E359" s="3" t="n"/>
      <c r="F359" s="3" t="n"/>
      <c r="G359" s="3" t="n"/>
      <c r="H359" s="3" t="n"/>
    </row>
    <row r="360">
      <c r="A360" s="3" t="n"/>
      <c r="B360" s="3" t="n"/>
      <c r="C360" s="4" t="n"/>
      <c r="D360" s="5" t="n"/>
      <c r="E360" s="3" t="n"/>
      <c r="F360" s="3" t="n"/>
      <c r="G360" s="3" t="n"/>
      <c r="H360" s="3" t="n"/>
    </row>
    <row r="361">
      <c r="A361" s="3" t="n"/>
      <c r="B361" s="3" t="n"/>
      <c r="C361" s="4" t="n"/>
      <c r="D361" s="5" t="n"/>
      <c r="E361" s="3" t="n"/>
      <c r="F361" s="3" t="n"/>
      <c r="G361" s="3" t="n"/>
      <c r="H361" s="3" t="n"/>
    </row>
    <row r="362">
      <c r="A362" s="3" t="n"/>
      <c r="B362" s="3" t="n"/>
      <c r="C362" s="4" t="n"/>
      <c r="D362" s="5" t="n"/>
      <c r="E362" s="3" t="n"/>
      <c r="F362" s="3" t="n"/>
      <c r="G362" s="3" t="n"/>
      <c r="H362" s="3" t="n"/>
    </row>
    <row r="363">
      <c r="A363" s="3" t="n"/>
      <c r="B363" s="3" t="n"/>
      <c r="C363" s="4" t="n"/>
      <c r="D363" s="5" t="n"/>
      <c r="E363" s="3" t="n"/>
      <c r="F363" s="3" t="n"/>
      <c r="G363" s="3" t="n"/>
      <c r="H363" s="3" t="n"/>
    </row>
    <row r="364">
      <c r="A364" s="3" t="n"/>
      <c r="B364" s="3" t="n"/>
      <c r="C364" s="4" t="n"/>
      <c r="D364" s="5" t="n"/>
      <c r="E364" s="3" t="n"/>
      <c r="F364" s="3" t="n"/>
      <c r="G364" s="3" t="n"/>
      <c r="H364" s="3" t="n"/>
    </row>
    <row r="365">
      <c r="A365" s="3" t="n"/>
      <c r="B365" s="3" t="n"/>
      <c r="C365" s="4" t="n"/>
      <c r="D365" s="5" t="n"/>
      <c r="E365" s="3" t="n"/>
      <c r="F365" s="3" t="n"/>
      <c r="G365" s="3" t="n"/>
      <c r="H365" s="3" t="n"/>
    </row>
    <row r="366">
      <c r="A366" s="3" t="n"/>
      <c r="B366" s="3" t="n"/>
      <c r="C366" s="4" t="n"/>
      <c r="D366" s="5" t="n"/>
      <c r="E366" s="3" t="n"/>
      <c r="F366" s="3" t="n"/>
      <c r="G366" s="3" t="n"/>
      <c r="H366" s="3" t="n"/>
    </row>
    <row r="367">
      <c r="A367" s="3" t="n"/>
      <c r="B367" s="3" t="n"/>
      <c r="C367" s="4" t="n"/>
      <c r="D367" s="5" t="n"/>
      <c r="E367" s="3" t="n"/>
      <c r="F367" s="3" t="n"/>
      <c r="G367" s="3" t="n"/>
      <c r="H367" s="3" t="n"/>
    </row>
    <row r="368">
      <c r="A368" s="3" t="n"/>
      <c r="B368" s="3" t="n"/>
      <c r="C368" s="4" t="n"/>
      <c r="D368" s="5" t="n"/>
      <c r="E368" s="3" t="n"/>
      <c r="F368" s="3" t="n"/>
      <c r="G368" s="3" t="n"/>
      <c r="H368" s="3" t="n"/>
    </row>
    <row r="369">
      <c r="A369" s="3" t="n"/>
      <c r="B369" s="3" t="n"/>
      <c r="C369" s="4" t="n"/>
      <c r="D369" s="5" t="n"/>
      <c r="E369" s="3" t="n"/>
      <c r="F369" s="3" t="n"/>
      <c r="G369" s="3" t="n"/>
      <c r="H369" s="3" t="n"/>
    </row>
    <row r="370">
      <c r="A370" s="3" t="n"/>
      <c r="B370" s="3" t="n"/>
      <c r="C370" s="4" t="n"/>
      <c r="D370" s="5" t="n"/>
      <c r="E370" s="3" t="n"/>
      <c r="F370" s="3" t="n"/>
      <c r="G370" s="3" t="n"/>
      <c r="H370" s="3" t="n"/>
    </row>
    <row r="371">
      <c r="A371" s="3" t="n"/>
      <c r="B371" s="3" t="n"/>
      <c r="C371" s="4" t="n"/>
      <c r="D371" s="5" t="n"/>
      <c r="E371" s="3" t="n"/>
      <c r="F371" s="3" t="n"/>
      <c r="G371" s="3" t="n"/>
      <c r="H371" s="3" t="n"/>
    </row>
    <row r="372">
      <c r="A372" s="3" t="n"/>
      <c r="B372" s="3" t="n"/>
      <c r="C372" s="4" t="n"/>
      <c r="D372" s="5" t="n"/>
      <c r="E372" s="3" t="n"/>
      <c r="F372" s="3" t="n"/>
      <c r="G372" s="3" t="n"/>
      <c r="H372" s="3" t="n"/>
    </row>
    <row r="373">
      <c r="A373" s="3" t="n"/>
      <c r="B373" s="3" t="n"/>
      <c r="C373" s="4" t="n"/>
      <c r="D373" s="5" t="n"/>
      <c r="E373" s="3" t="n"/>
      <c r="F373" s="3" t="n"/>
      <c r="G373" s="3" t="n"/>
      <c r="H373" s="3" t="n"/>
    </row>
    <row r="374">
      <c r="A374" s="3" t="n"/>
      <c r="B374" s="3" t="n"/>
      <c r="C374" s="4" t="n"/>
      <c r="D374" s="5" t="n"/>
      <c r="E374" s="3" t="n"/>
      <c r="F374" s="3" t="n"/>
      <c r="G374" s="3" t="n"/>
      <c r="H374" s="3" t="n"/>
    </row>
    <row r="375">
      <c r="A375" s="3" t="n"/>
      <c r="B375" s="3" t="n"/>
      <c r="C375" s="4" t="n"/>
      <c r="D375" s="5" t="n"/>
      <c r="E375" s="3" t="n"/>
      <c r="F375" s="3" t="n"/>
      <c r="G375" s="3" t="n"/>
      <c r="H375" s="3" t="n"/>
    </row>
    <row r="376">
      <c r="A376" s="3" t="n"/>
      <c r="B376" s="3" t="n"/>
      <c r="C376" s="4" t="n"/>
      <c r="D376" s="5" t="n"/>
      <c r="E376" s="3" t="n"/>
      <c r="F376" s="3" t="n"/>
      <c r="G376" s="3" t="n"/>
      <c r="H376" s="3" t="n"/>
    </row>
    <row r="377">
      <c r="A377" s="3" t="n"/>
      <c r="B377" s="3" t="n"/>
      <c r="C377" s="4" t="n"/>
      <c r="D377" s="5" t="n"/>
      <c r="E377" s="3" t="n"/>
      <c r="F377" s="3" t="n"/>
      <c r="G377" s="3" t="n"/>
      <c r="H377" s="3" t="n"/>
    </row>
    <row r="378">
      <c r="A378" s="3" t="n"/>
      <c r="B378" s="3" t="n"/>
      <c r="C378" s="4" t="n"/>
      <c r="D378" s="5" t="n"/>
      <c r="E378" s="3" t="n"/>
      <c r="F378" s="3" t="n"/>
      <c r="G378" s="3" t="n"/>
      <c r="H378" s="3" t="n"/>
    </row>
    <row r="379">
      <c r="A379" s="3" t="n"/>
      <c r="B379" s="3" t="n"/>
      <c r="C379" s="4" t="n"/>
      <c r="D379" s="5" t="n"/>
      <c r="E379" s="3" t="n"/>
      <c r="F379" s="3" t="n"/>
      <c r="G379" s="3" t="n"/>
      <c r="H379" s="3" t="n"/>
    </row>
    <row r="380">
      <c r="A380" s="3" t="n"/>
      <c r="B380" s="3" t="n"/>
      <c r="C380" s="4" t="n"/>
      <c r="D380" s="5" t="n"/>
      <c r="E380" s="3" t="n"/>
      <c r="F380" s="3" t="n"/>
      <c r="G380" s="3" t="n"/>
      <c r="H380" s="3" t="n"/>
    </row>
    <row r="381">
      <c r="A381" s="3" t="n"/>
      <c r="B381" s="3" t="n"/>
      <c r="C381" s="4" t="n"/>
      <c r="D381" s="5" t="n"/>
      <c r="E381" s="3" t="n"/>
      <c r="F381" s="3" t="n"/>
      <c r="G381" s="3" t="n"/>
      <c r="H381" s="3" t="n"/>
    </row>
    <row r="382">
      <c r="A382" s="3" t="n"/>
      <c r="B382" s="3" t="n"/>
      <c r="C382" s="4" t="n"/>
      <c r="D382" s="5" t="n"/>
      <c r="E382" s="3" t="n"/>
      <c r="F382" s="3" t="n"/>
      <c r="G382" s="3" t="n"/>
      <c r="H382" s="3" t="n"/>
    </row>
    <row r="383">
      <c r="A383" s="3" t="n"/>
      <c r="B383" s="3" t="n"/>
      <c r="C383" s="4" t="n"/>
      <c r="D383" s="5" t="n"/>
      <c r="E383" s="3" t="n"/>
      <c r="F383" s="3" t="n"/>
      <c r="G383" s="3" t="n"/>
      <c r="H383" s="3" t="n"/>
    </row>
    <row r="384">
      <c r="A384" s="3" t="n"/>
      <c r="B384" s="3" t="n"/>
      <c r="C384" s="4" t="n"/>
      <c r="D384" s="5" t="n"/>
      <c r="E384" s="3" t="n"/>
      <c r="F384" s="3" t="n"/>
      <c r="G384" s="3" t="n"/>
      <c r="H384" s="3" t="n"/>
    </row>
    <row r="385">
      <c r="A385" s="3" t="n"/>
      <c r="B385" s="3" t="n"/>
      <c r="C385" s="4" t="n"/>
      <c r="D385" s="5" t="n"/>
      <c r="E385" s="3" t="n"/>
      <c r="F385" s="3" t="n"/>
      <c r="G385" s="3" t="n"/>
      <c r="H385" s="3" t="n"/>
    </row>
    <row r="386">
      <c r="A386" s="3" t="n"/>
      <c r="B386" s="3" t="n"/>
      <c r="C386" s="4" t="n"/>
      <c r="D386" s="5" t="n"/>
      <c r="E386" s="3" t="n"/>
      <c r="F386" s="3" t="n"/>
      <c r="G386" s="3" t="n"/>
      <c r="H386" s="3" t="n"/>
    </row>
    <row r="387">
      <c r="A387" s="3" t="n"/>
      <c r="B387" s="3" t="n"/>
      <c r="C387" s="4" t="n"/>
      <c r="D387" s="5" t="n"/>
      <c r="E387" s="3" t="n"/>
      <c r="F387" s="3" t="n"/>
      <c r="G387" s="3" t="n"/>
      <c r="H387" s="3" t="n"/>
    </row>
    <row r="388">
      <c r="A388" s="3" t="n"/>
      <c r="B388" s="3" t="n"/>
      <c r="C388" s="4" t="n"/>
      <c r="D388" s="5" t="n"/>
      <c r="E388" s="3" t="n"/>
      <c r="F388" s="3" t="n"/>
      <c r="G388" s="3" t="n"/>
      <c r="H388" s="3" t="n"/>
    </row>
    <row r="389">
      <c r="A389" s="3" t="n"/>
      <c r="B389" s="3" t="n"/>
      <c r="C389" s="4" t="n"/>
      <c r="D389" s="5" t="n"/>
      <c r="E389" s="3" t="n"/>
      <c r="F389" s="3" t="n"/>
      <c r="G389" s="3" t="n"/>
      <c r="H389" s="3" t="n"/>
    </row>
    <row r="390">
      <c r="A390" s="3" t="n"/>
      <c r="B390" s="3" t="n"/>
      <c r="C390" s="4" t="n"/>
      <c r="D390" s="5" t="n"/>
      <c r="E390" s="3" t="n"/>
      <c r="F390" s="3" t="n"/>
      <c r="G390" s="3" t="n"/>
      <c r="H390" s="3" t="n"/>
    </row>
    <row r="391">
      <c r="A391" s="3" t="n"/>
      <c r="B391" s="3" t="n"/>
      <c r="C391" s="4" t="n"/>
      <c r="D391" s="5" t="n"/>
      <c r="E391" s="3" t="n"/>
      <c r="F391" s="3" t="n"/>
      <c r="G391" s="3" t="n"/>
      <c r="H391" s="3" t="n"/>
    </row>
    <row r="392">
      <c r="A392" s="3" t="n"/>
      <c r="B392" s="3" t="n"/>
      <c r="C392" s="4" t="n"/>
      <c r="D392" s="5" t="n"/>
      <c r="E392" s="3" t="n"/>
      <c r="F392" s="3" t="n"/>
      <c r="G392" s="3" t="n"/>
      <c r="H392" s="3" t="n"/>
    </row>
    <row r="393">
      <c r="A393" s="3" t="n"/>
      <c r="B393" s="3" t="n"/>
      <c r="C393" s="4" t="n"/>
      <c r="D393" s="5" t="n"/>
      <c r="E393" s="3" t="n"/>
      <c r="F393" s="3" t="n"/>
      <c r="G393" s="3" t="n"/>
      <c r="H393" s="3" t="n"/>
    </row>
    <row r="394">
      <c r="A394" s="3" t="n"/>
      <c r="B394" s="3" t="n"/>
      <c r="C394" s="4" t="n"/>
      <c r="D394" s="5" t="n"/>
      <c r="E394" s="3" t="n"/>
      <c r="F394" s="3" t="n"/>
      <c r="G394" s="3" t="n"/>
      <c r="H394" s="3" t="n"/>
    </row>
    <row r="395">
      <c r="A395" s="3" t="n"/>
      <c r="B395" s="3" t="n"/>
      <c r="C395" s="4" t="n"/>
      <c r="D395" s="5" t="n"/>
      <c r="E395" s="3" t="n"/>
      <c r="F395" s="3" t="n"/>
      <c r="G395" s="3" t="n"/>
      <c r="H395" s="3" t="n"/>
    </row>
    <row r="396">
      <c r="A396" s="3" t="n"/>
      <c r="B396" s="3" t="n"/>
      <c r="C396" s="4" t="n"/>
      <c r="D396" s="5" t="n"/>
      <c r="E396" s="3" t="n"/>
      <c r="F396" s="3" t="n"/>
      <c r="G396" s="3" t="n"/>
      <c r="H396" s="3" t="n"/>
    </row>
    <row r="397">
      <c r="A397" s="3" t="n"/>
      <c r="B397" s="3" t="n"/>
      <c r="C397" s="4" t="n"/>
      <c r="D397" s="5" t="n"/>
      <c r="E397" s="3" t="n"/>
      <c r="F397" s="3" t="n"/>
      <c r="G397" s="3" t="n"/>
      <c r="H397" s="3" t="n"/>
    </row>
    <row r="398">
      <c r="A398" s="3" t="n"/>
      <c r="B398" s="3" t="n"/>
      <c r="C398" s="4" t="n"/>
      <c r="D398" s="5" t="n"/>
      <c r="E398" s="3" t="n"/>
      <c r="F398" s="3" t="n"/>
      <c r="G398" s="3" t="n"/>
      <c r="H398" s="3" t="n"/>
    </row>
    <row r="399">
      <c r="A399" s="3" t="n"/>
      <c r="B399" s="3" t="n"/>
      <c r="C399" s="4" t="n"/>
      <c r="D399" s="5" t="n"/>
      <c r="E399" s="3" t="n"/>
      <c r="F399" s="3" t="n"/>
      <c r="G399" s="3" t="n"/>
      <c r="H399" s="3" t="n"/>
    </row>
    <row r="400">
      <c r="A400" s="3" t="n"/>
      <c r="B400" s="3" t="n"/>
      <c r="C400" s="4" t="n"/>
      <c r="D400" s="5" t="n"/>
      <c r="E400" s="3" t="n"/>
      <c r="F400" s="3" t="n"/>
      <c r="G400" s="3" t="n"/>
      <c r="H400" s="3" t="n"/>
    </row>
    <row r="401">
      <c r="A401" s="3" t="n"/>
      <c r="B401" s="3" t="n"/>
      <c r="C401" s="4" t="n"/>
      <c r="D401" s="5" t="n"/>
      <c r="E401" s="3" t="n"/>
      <c r="F401" s="3" t="n"/>
      <c r="G401" s="3" t="n"/>
      <c r="H401" s="3" t="n"/>
    </row>
    <row r="402">
      <c r="A402" s="3" t="n"/>
      <c r="B402" s="3" t="n"/>
      <c r="C402" s="4" t="n"/>
      <c r="D402" s="5" t="n"/>
      <c r="E402" s="3" t="n"/>
      <c r="F402" s="3" t="n"/>
      <c r="G402" s="3" t="n"/>
      <c r="H402" s="3" t="n"/>
    </row>
    <row r="403">
      <c r="A403" s="3" t="n"/>
      <c r="B403" s="3" t="n"/>
      <c r="C403" s="4" t="n"/>
      <c r="D403" s="5" t="n"/>
      <c r="E403" s="3" t="n"/>
      <c r="F403" s="3" t="n"/>
      <c r="G403" s="3" t="n"/>
      <c r="H403" s="3" t="n"/>
    </row>
    <row r="404">
      <c r="A404" s="3" t="n"/>
      <c r="B404" s="3" t="n"/>
      <c r="C404" s="4" t="n"/>
      <c r="D404" s="5" t="n"/>
      <c r="E404" s="3" t="n"/>
      <c r="F404" s="3" t="n"/>
      <c r="G404" s="3" t="n"/>
      <c r="H404" s="3" t="n"/>
    </row>
    <row r="405">
      <c r="A405" s="3" t="n"/>
      <c r="B405" s="3" t="n"/>
      <c r="C405" s="4" t="n"/>
      <c r="D405" s="5" t="n"/>
      <c r="E405" s="3" t="n"/>
      <c r="F405" s="3" t="n"/>
      <c r="G405" s="3" t="n"/>
      <c r="H405" s="3" t="n"/>
    </row>
    <row r="406">
      <c r="A406" s="3" t="n"/>
      <c r="B406" s="3" t="n"/>
      <c r="C406" s="4" t="n"/>
      <c r="D406" s="5" t="n"/>
      <c r="E406" s="3" t="n"/>
      <c r="F406" s="3" t="n"/>
      <c r="G406" s="3" t="n"/>
      <c r="H406" s="3" t="n"/>
    </row>
    <row r="407">
      <c r="A407" s="3" t="n"/>
      <c r="B407" s="3" t="n"/>
      <c r="C407" s="4" t="n"/>
      <c r="D407" s="5" t="n"/>
      <c r="E407" s="3" t="n"/>
      <c r="F407" s="3" t="n"/>
      <c r="G407" s="3" t="n"/>
      <c r="H407" s="3" t="n"/>
    </row>
    <row r="408">
      <c r="A408" s="3" t="n"/>
      <c r="B408" s="3" t="n"/>
      <c r="C408" s="4" t="n"/>
      <c r="D408" s="5" t="n"/>
      <c r="E408" s="3" t="n"/>
      <c r="F408" s="3" t="n"/>
      <c r="G408" s="3" t="n"/>
      <c r="H408" s="3" t="n"/>
    </row>
    <row r="409">
      <c r="A409" s="3" t="n"/>
      <c r="B409" s="3" t="n"/>
      <c r="C409" s="4" t="n"/>
      <c r="D409" s="5" t="n"/>
      <c r="E409" s="3" t="n"/>
      <c r="F409" s="3" t="n"/>
      <c r="G409" s="3" t="n"/>
      <c r="H409" s="3" t="n"/>
    </row>
    <row r="410">
      <c r="A410" s="3" t="n"/>
      <c r="B410" s="3" t="n"/>
      <c r="C410" s="4" t="n"/>
      <c r="D410" s="5" t="n"/>
      <c r="E410" s="3" t="n"/>
      <c r="F410" s="3" t="n"/>
      <c r="G410" s="3" t="n"/>
      <c r="H410" s="3" t="n"/>
    </row>
    <row r="411">
      <c r="A411" s="3" t="n"/>
      <c r="B411" s="3" t="n"/>
      <c r="C411" s="4" t="n"/>
      <c r="D411" s="5" t="n"/>
      <c r="E411" s="3" t="n"/>
      <c r="F411" s="3" t="n"/>
      <c r="G411" s="3" t="n"/>
      <c r="H411" s="3" t="n"/>
    </row>
    <row r="412">
      <c r="A412" s="3" t="n"/>
      <c r="B412" s="3" t="n"/>
      <c r="C412" s="4" t="n"/>
      <c r="D412" s="5" t="n"/>
      <c r="E412" s="3" t="n"/>
      <c r="F412" s="3" t="n"/>
      <c r="G412" s="3" t="n"/>
      <c r="H412" s="3" t="n"/>
    </row>
    <row r="413">
      <c r="A413" s="3" t="n"/>
      <c r="B413" s="3" t="n"/>
      <c r="C413" s="4" t="n"/>
      <c r="D413" s="5" t="n"/>
      <c r="E413" s="3" t="n"/>
      <c r="F413" s="3" t="n"/>
      <c r="G413" s="3" t="n"/>
      <c r="H413" s="3" t="n"/>
    </row>
    <row r="414">
      <c r="A414" s="3" t="n"/>
      <c r="B414" s="3" t="n"/>
      <c r="C414" s="4" t="n"/>
      <c r="D414" s="5" t="n"/>
      <c r="E414" s="3" t="n"/>
      <c r="F414" s="3" t="n"/>
      <c r="G414" s="3" t="n"/>
      <c r="H414" s="3" t="n"/>
    </row>
    <row r="415">
      <c r="A415" s="3" t="n"/>
      <c r="B415" s="3" t="n"/>
      <c r="C415" s="4" t="n"/>
      <c r="D415" s="5" t="n"/>
      <c r="E415" s="3" t="n"/>
      <c r="F415" s="3" t="n"/>
      <c r="G415" s="3" t="n"/>
      <c r="H415" s="3" t="n"/>
    </row>
    <row r="416">
      <c r="A416" s="3" t="n"/>
      <c r="B416" s="3" t="n"/>
      <c r="C416" s="4" t="n"/>
      <c r="D416" s="5" t="n"/>
      <c r="E416" s="3" t="n"/>
      <c r="F416" s="3" t="n"/>
      <c r="G416" s="3" t="n"/>
      <c r="H416" s="3" t="n"/>
    </row>
    <row r="417">
      <c r="A417" s="3" t="n"/>
      <c r="B417" s="3" t="n"/>
      <c r="C417" s="4" t="n"/>
      <c r="D417" s="5" t="n"/>
      <c r="E417" s="3" t="n"/>
      <c r="F417" s="3" t="n"/>
      <c r="G417" s="3" t="n"/>
      <c r="H417" s="3" t="n"/>
    </row>
    <row r="418">
      <c r="A418" s="3" t="n"/>
      <c r="B418" s="3" t="n"/>
      <c r="C418" s="4" t="n"/>
      <c r="D418" s="5" t="n"/>
      <c r="E418" s="3" t="n"/>
      <c r="F418" s="3" t="n"/>
      <c r="G418" s="3" t="n"/>
      <c r="H418" s="3" t="n"/>
    </row>
    <row r="419">
      <c r="A419" s="3" t="n"/>
      <c r="B419" s="3" t="n"/>
      <c r="C419" s="4" t="n"/>
      <c r="D419" s="5" t="n"/>
      <c r="E419" s="3" t="n"/>
      <c r="F419" s="3" t="n"/>
      <c r="G419" s="3" t="n"/>
      <c r="H419" s="3" t="n"/>
    </row>
    <row r="420">
      <c r="A420" s="3" t="n"/>
      <c r="B420" s="3" t="n"/>
      <c r="C420" s="4" t="n"/>
      <c r="D420" s="5" t="n"/>
      <c r="E420" s="3" t="n"/>
      <c r="F420" s="3" t="n"/>
      <c r="G420" s="3" t="n"/>
      <c r="H420" s="3" t="n"/>
    </row>
    <row r="421">
      <c r="A421" s="3" t="n"/>
      <c r="B421" s="3" t="n"/>
      <c r="C421" s="4" t="n"/>
      <c r="D421" s="5" t="n"/>
      <c r="E421" s="3" t="n"/>
      <c r="F421" s="3" t="n"/>
      <c r="G421" s="3" t="n"/>
      <c r="H421" s="3" t="n"/>
    </row>
    <row r="422">
      <c r="A422" s="3" t="n"/>
      <c r="B422" s="3" t="n"/>
      <c r="C422" s="4" t="n"/>
      <c r="D422" s="5" t="n"/>
      <c r="E422" s="3" t="n"/>
      <c r="F422" s="3" t="n"/>
      <c r="G422" s="3" t="n"/>
      <c r="H422" s="3" t="n"/>
    </row>
    <row r="423">
      <c r="A423" s="3" t="n"/>
      <c r="B423" s="3" t="n"/>
      <c r="C423" s="4" t="n"/>
      <c r="D423" s="5" t="n"/>
      <c r="E423" s="3" t="n"/>
      <c r="F423" s="3" t="n"/>
      <c r="G423" s="3" t="n"/>
      <c r="H423" s="3" t="n"/>
    </row>
    <row r="424">
      <c r="A424" s="3" t="n"/>
      <c r="B424" s="3" t="n"/>
      <c r="C424" s="4" t="n"/>
      <c r="D424" s="5" t="n"/>
      <c r="E424" s="3" t="n"/>
      <c r="F424" s="3" t="n"/>
      <c r="G424" s="3" t="n"/>
      <c r="H424" s="3" t="n"/>
    </row>
    <row r="425">
      <c r="A425" s="3" t="n"/>
      <c r="B425" s="3" t="n"/>
      <c r="C425" s="4" t="n"/>
      <c r="D425" s="5" t="n"/>
      <c r="E425" s="3" t="n"/>
      <c r="F425" s="3" t="n"/>
      <c r="G425" s="3" t="n"/>
      <c r="H425" s="3" t="n"/>
    </row>
    <row r="426">
      <c r="A426" s="3" t="n"/>
      <c r="B426" s="3" t="n"/>
      <c r="C426" s="4" t="n"/>
      <c r="D426" s="5" t="n"/>
      <c r="E426" s="3" t="n"/>
      <c r="F426" s="3" t="n"/>
      <c r="G426" s="3" t="n"/>
      <c r="H426" s="3" t="n"/>
    </row>
    <row r="427">
      <c r="A427" s="3" t="n"/>
      <c r="B427" s="3" t="n"/>
      <c r="C427" s="4" t="n"/>
      <c r="D427" s="5" t="n"/>
      <c r="E427" s="3" t="n"/>
      <c r="F427" s="3" t="n"/>
      <c r="G427" s="3" t="n"/>
      <c r="H427" s="3" t="n"/>
    </row>
    <row r="428">
      <c r="A428" s="3" t="n"/>
      <c r="B428" s="3" t="n"/>
      <c r="C428" s="4" t="n"/>
      <c r="D428" s="5" t="n"/>
      <c r="E428" s="3" t="n"/>
      <c r="F428" s="3" t="n"/>
      <c r="G428" s="3" t="n"/>
      <c r="H428" s="3" t="n"/>
    </row>
    <row r="429">
      <c r="A429" s="3" t="n"/>
      <c r="B429" s="3" t="n"/>
      <c r="C429" s="4" t="n"/>
      <c r="D429" s="5" t="n"/>
      <c r="E429" s="3" t="n"/>
      <c r="F429" s="3" t="n"/>
      <c r="G429" s="3" t="n"/>
      <c r="H429" s="3" t="n"/>
    </row>
    <row r="430">
      <c r="A430" s="3" t="n"/>
      <c r="B430" s="3" t="n"/>
      <c r="C430" s="4" t="n"/>
      <c r="D430" s="5" t="n"/>
      <c r="E430" s="3" t="n"/>
      <c r="F430" s="3" t="n"/>
      <c r="G430" s="3" t="n"/>
      <c r="H430" s="3" t="n"/>
    </row>
    <row r="431">
      <c r="A431" s="3" t="n"/>
      <c r="B431" s="3" t="n"/>
      <c r="C431" s="4" t="n"/>
      <c r="D431" s="5" t="n"/>
      <c r="E431" s="3" t="n"/>
      <c r="F431" s="3" t="n"/>
      <c r="G431" s="3" t="n"/>
      <c r="H431" s="3" t="n"/>
    </row>
    <row r="432">
      <c r="A432" s="3" t="n"/>
      <c r="B432" s="3" t="n"/>
      <c r="C432" s="4" t="n"/>
      <c r="D432" s="5" t="n"/>
      <c r="E432" s="3" t="n"/>
      <c r="F432" s="3" t="n"/>
      <c r="G432" s="3" t="n"/>
      <c r="H432" s="3" t="n"/>
    </row>
    <row r="433">
      <c r="A433" s="3" t="n"/>
      <c r="B433" s="3" t="n"/>
      <c r="C433" s="4" t="n"/>
      <c r="D433" s="5" t="n"/>
      <c r="E433" s="3" t="n"/>
      <c r="F433" s="3" t="n"/>
      <c r="G433" s="3" t="n"/>
      <c r="H433" s="3" t="n"/>
    </row>
    <row r="434">
      <c r="A434" s="3" t="n"/>
      <c r="B434" s="3" t="n"/>
      <c r="C434" s="4" t="n"/>
      <c r="D434" s="5" t="n"/>
      <c r="E434" s="3" t="n"/>
      <c r="F434" s="3" t="n"/>
      <c r="G434" s="3" t="n"/>
      <c r="H434" s="3" t="n"/>
    </row>
    <row r="435">
      <c r="A435" s="3" t="n"/>
      <c r="B435" s="3" t="n"/>
      <c r="C435" s="4" t="n"/>
      <c r="D435" s="5" t="n"/>
      <c r="E435" s="3" t="n"/>
      <c r="F435" s="3" t="n"/>
      <c r="G435" s="3" t="n"/>
      <c r="H435" s="3" t="n"/>
    </row>
    <row r="436">
      <c r="A436" s="3" t="n"/>
      <c r="B436" s="3" t="n"/>
      <c r="C436" s="4" t="n"/>
      <c r="D436" s="5" t="n"/>
      <c r="E436" s="3" t="n"/>
      <c r="F436" s="3" t="n"/>
      <c r="G436" s="3" t="n"/>
      <c r="H436" s="3" t="n"/>
    </row>
    <row r="437">
      <c r="A437" s="3" t="n"/>
      <c r="B437" s="3" t="n"/>
      <c r="C437" s="4" t="n"/>
      <c r="D437" s="5" t="n"/>
      <c r="E437" s="3" t="n"/>
      <c r="F437" s="3" t="n"/>
      <c r="G437" s="3" t="n"/>
      <c r="H437" s="3" t="n"/>
    </row>
    <row r="438">
      <c r="A438" s="3" t="n"/>
      <c r="B438" s="3" t="n"/>
      <c r="C438" s="4" t="n"/>
      <c r="D438" s="5" t="n"/>
      <c r="E438" s="3" t="n"/>
      <c r="F438" s="3" t="n"/>
      <c r="G438" s="3" t="n"/>
      <c r="H438" s="3" t="n"/>
    </row>
    <row r="439">
      <c r="A439" s="3" t="n"/>
      <c r="B439" s="3" t="n"/>
      <c r="C439" s="4" t="n"/>
      <c r="D439" s="5" t="n"/>
      <c r="E439" s="3" t="n"/>
      <c r="F439" s="3" t="n"/>
      <c r="G439" s="3" t="n"/>
      <c r="H439" s="3" t="n"/>
    </row>
    <row r="440">
      <c r="A440" s="3" t="n"/>
      <c r="B440" s="3" t="n"/>
      <c r="C440" s="4" t="n"/>
      <c r="D440" s="5" t="n"/>
      <c r="E440" s="3" t="n"/>
      <c r="F440" s="3" t="n"/>
      <c r="G440" s="3" t="n"/>
      <c r="H440" s="3" t="n"/>
    </row>
    <row r="441">
      <c r="A441" s="3" t="n"/>
      <c r="B441" s="3" t="n"/>
      <c r="C441" s="4" t="n"/>
      <c r="D441" s="5" t="n"/>
      <c r="E441" s="3" t="n"/>
      <c r="F441" s="3" t="n"/>
      <c r="G441" s="3" t="n"/>
      <c r="H441" s="3" t="n"/>
    </row>
    <row r="442">
      <c r="A442" s="3" t="n"/>
      <c r="B442" s="3" t="n"/>
      <c r="C442" s="4" t="n"/>
      <c r="D442" s="5" t="n"/>
      <c r="E442" s="3" t="n"/>
      <c r="F442" s="3" t="n"/>
      <c r="G442" s="3" t="n"/>
      <c r="H442" s="3" t="n"/>
    </row>
    <row r="443">
      <c r="A443" s="3" t="n"/>
      <c r="B443" s="3" t="n"/>
      <c r="C443" s="4" t="n"/>
      <c r="D443" s="5" t="n"/>
      <c r="E443" s="3" t="n"/>
      <c r="F443" s="3" t="n"/>
      <c r="G443" s="3" t="n"/>
      <c r="H443" s="3" t="n"/>
    </row>
    <row r="444">
      <c r="A444" s="3" t="n"/>
      <c r="B444" s="3" t="n"/>
      <c r="C444" s="4" t="n"/>
      <c r="D444" s="5" t="n"/>
      <c r="E444" s="3" t="n"/>
      <c r="F444" s="3" t="n"/>
      <c r="G444" s="3" t="n"/>
      <c r="H444" s="3" t="n"/>
    </row>
    <row r="445">
      <c r="A445" s="3" t="n"/>
      <c r="B445" s="3" t="n"/>
      <c r="C445" s="4" t="n"/>
      <c r="D445" s="5" t="n"/>
      <c r="E445" s="3" t="n"/>
      <c r="F445" s="3" t="n"/>
      <c r="G445" s="3" t="n"/>
      <c r="H445" s="3" t="n"/>
    </row>
    <row r="446">
      <c r="A446" s="3" t="n"/>
      <c r="B446" s="3" t="n"/>
      <c r="C446" s="4" t="n"/>
      <c r="D446" s="5" t="n"/>
      <c r="E446" s="3" t="n"/>
      <c r="F446" s="3" t="n"/>
      <c r="G446" s="3" t="n"/>
      <c r="H446" s="3" t="n"/>
    </row>
    <row r="447">
      <c r="A447" s="3" t="n"/>
      <c r="B447" s="3" t="n"/>
      <c r="C447" s="4" t="n"/>
      <c r="D447" s="5" t="n"/>
      <c r="E447" s="3" t="n"/>
      <c r="F447" s="3" t="n"/>
      <c r="G447" s="3" t="n"/>
      <c r="H447" s="3" t="n"/>
    </row>
    <row r="448">
      <c r="A448" s="3" t="n"/>
      <c r="B448" s="3" t="n"/>
      <c r="C448" s="4" t="n"/>
      <c r="D448" s="5" t="n"/>
      <c r="E448" s="3" t="n"/>
      <c r="F448" s="3" t="n"/>
      <c r="G448" s="3" t="n"/>
      <c r="H448" s="3" t="n"/>
    </row>
    <row r="449">
      <c r="A449" s="3" t="n"/>
      <c r="B449" s="3" t="n"/>
      <c r="C449" s="4" t="n"/>
      <c r="D449" s="5" t="n"/>
      <c r="E449" s="3" t="n"/>
      <c r="F449" s="3" t="n"/>
      <c r="G449" s="3" t="n"/>
      <c r="H449" s="3" t="n"/>
    </row>
    <row r="450">
      <c r="A450" s="3" t="n"/>
      <c r="B450" s="3" t="n"/>
      <c r="C450" s="4" t="n"/>
      <c r="D450" s="5" t="n"/>
      <c r="E450" s="3" t="n"/>
      <c r="F450" s="3" t="n"/>
      <c r="G450" s="3" t="n"/>
      <c r="H450" s="3" t="n"/>
    </row>
    <row r="451">
      <c r="A451" s="3" t="n"/>
      <c r="B451" s="3" t="n"/>
      <c r="C451" s="4" t="n"/>
      <c r="D451" s="5" t="n"/>
      <c r="E451" s="3" t="n"/>
      <c r="F451" s="3" t="n"/>
      <c r="G451" s="3" t="n"/>
      <c r="H451" s="3" t="n"/>
    </row>
    <row r="452">
      <c r="A452" s="3" t="n"/>
      <c r="B452" s="3" t="n"/>
      <c r="C452" s="4" t="n"/>
      <c r="D452" s="5" t="n"/>
      <c r="E452" s="3" t="n"/>
      <c r="F452" s="3" t="n"/>
      <c r="G452" s="3" t="n"/>
      <c r="H452" s="3" t="n"/>
    </row>
    <row r="453">
      <c r="A453" s="3" t="n"/>
      <c r="B453" s="3" t="n"/>
      <c r="C453" s="4" t="n"/>
      <c r="D453" s="5" t="n"/>
      <c r="E453" s="3" t="n"/>
      <c r="F453" s="3" t="n"/>
      <c r="G453" s="3" t="n"/>
      <c r="H453" s="3" t="n"/>
    </row>
    <row r="454">
      <c r="A454" s="3" t="n"/>
      <c r="B454" s="3" t="n"/>
      <c r="C454" s="4" t="n"/>
      <c r="D454" s="5" t="n"/>
      <c r="E454" s="3" t="n"/>
      <c r="F454" s="3" t="n"/>
      <c r="G454" s="3" t="n"/>
      <c r="H454" s="3" t="n"/>
    </row>
    <row r="455">
      <c r="A455" s="3" t="n"/>
      <c r="B455" s="3" t="n"/>
      <c r="C455" s="4" t="n"/>
      <c r="D455" s="5" t="n"/>
      <c r="E455" s="3" t="n"/>
      <c r="F455" s="3" t="n"/>
      <c r="G455" s="3" t="n"/>
      <c r="H455" s="3" t="n"/>
    </row>
    <row r="456">
      <c r="A456" s="3" t="n"/>
      <c r="B456" s="3" t="n"/>
      <c r="C456" s="4" t="n"/>
      <c r="D456" s="5" t="n"/>
      <c r="E456" s="3" t="n"/>
      <c r="F456" s="3" t="n"/>
      <c r="G456" s="3" t="n"/>
      <c r="H456" s="3" t="n"/>
    </row>
    <row r="457">
      <c r="A457" s="3" t="n"/>
      <c r="B457" s="3" t="n"/>
      <c r="C457" s="4" t="n"/>
      <c r="D457" s="5" t="n"/>
      <c r="E457" s="3" t="n"/>
      <c r="F457" s="3" t="n"/>
      <c r="G457" s="3" t="n"/>
      <c r="H457" s="3" t="n"/>
    </row>
    <row r="458">
      <c r="A458" s="3" t="n"/>
      <c r="B458" s="3" t="n"/>
      <c r="C458" s="4" t="n"/>
      <c r="D458" s="5" t="n"/>
      <c r="E458" s="3" t="n"/>
      <c r="F458" s="3" t="n"/>
      <c r="G458" s="3" t="n"/>
      <c r="H458" s="3" t="n"/>
    </row>
    <row r="459">
      <c r="A459" s="3" t="n"/>
      <c r="B459" s="3" t="n"/>
      <c r="C459" s="4" t="n"/>
      <c r="D459" s="5" t="n"/>
      <c r="E459" s="3" t="n"/>
      <c r="F459" s="3" t="n"/>
      <c r="G459" s="3" t="n"/>
      <c r="H459" s="3" t="n"/>
    </row>
    <row r="460">
      <c r="A460" s="3" t="n"/>
      <c r="B460" s="3" t="n"/>
      <c r="C460" s="4" t="n"/>
      <c r="D460" s="5" t="n"/>
      <c r="E460" s="3" t="n"/>
      <c r="F460" s="3" t="n"/>
      <c r="G460" s="3" t="n"/>
      <c r="H460" s="3" t="n"/>
    </row>
    <row r="461">
      <c r="A461" s="3" t="n"/>
      <c r="B461" s="3" t="n"/>
      <c r="C461" s="4" t="n"/>
      <c r="D461" s="5" t="n"/>
      <c r="E461" s="3" t="n"/>
      <c r="F461" s="3" t="n"/>
      <c r="G461" s="3" t="n"/>
      <c r="H461" s="3" t="n"/>
    </row>
    <row r="462">
      <c r="A462" s="3" t="n"/>
      <c r="B462" s="3" t="n"/>
      <c r="C462" s="4" t="n"/>
      <c r="D462" s="5" t="n"/>
      <c r="E462" s="3" t="n"/>
      <c r="F462" s="3" t="n"/>
      <c r="G462" s="3" t="n"/>
      <c r="H462" s="3" t="n"/>
    </row>
    <row r="463">
      <c r="A463" s="3" t="n"/>
      <c r="B463" s="3" t="n"/>
      <c r="C463" s="4" t="n"/>
      <c r="D463" s="5" t="n"/>
      <c r="E463" s="3" t="n"/>
      <c r="F463" s="3" t="n"/>
      <c r="G463" s="3" t="n"/>
      <c r="H463" s="3" t="n"/>
    </row>
    <row r="464">
      <c r="A464" s="3" t="n"/>
      <c r="B464" s="3" t="n"/>
      <c r="C464" s="4" t="n"/>
      <c r="D464" s="5" t="n"/>
      <c r="E464" s="3" t="n"/>
      <c r="F464" s="3" t="n"/>
      <c r="G464" s="3" t="n"/>
      <c r="H464" s="3" t="n"/>
    </row>
    <row r="465">
      <c r="A465" s="3" t="n"/>
      <c r="B465" s="3" t="n"/>
      <c r="C465" s="4" t="n"/>
      <c r="D465" s="5" t="n"/>
      <c r="E465" s="3" t="n"/>
      <c r="F465" s="3" t="n"/>
      <c r="G465" s="3" t="n"/>
      <c r="H465" s="3" t="n"/>
    </row>
    <row r="466">
      <c r="A466" s="3" t="n"/>
      <c r="B466" s="3" t="n"/>
      <c r="C466" s="4" t="n"/>
      <c r="D466" s="5" t="n"/>
      <c r="E466" s="3" t="n"/>
      <c r="F466" s="3" t="n"/>
      <c r="G466" s="3" t="n"/>
      <c r="H466" s="3" t="n"/>
    </row>
    <row r="467">
      <c r="A467" s="3" t="n"/>
      <c r="B467" s="3" t="n"/>
      <c r="C467" s="4" t="n"/>
      <c r="D467" s="5" t="n"/>
      <c r="E467" s="3" t="n"/>
      <c r="F467" s="3" t="n"/>
      <c r="G467" s="3" t="n"/>
      <c r="H467" s="3" t="n"/>
    </row>
    <row r="468">
      <c r="A468" s="3" t="n"/>
      <c r="B468" s="3" t="n"/>
      <c r="C468" s="4" t="n"/>
      <c r="D468" s="5" t="n"/>
      <c r="E468" s="3" t="n"/>
      <c r="F468" s="3" t="n"/>
      <c r="G468" s="3" t="n"/>
      <c r="H468" s="3" t="n"/>
    </row>
    <row r="469">
      <c r="A469" s="3" t="n"/>
      <c r="B469" s="3" t="n"/>
      <c r="C469" s="4" t="n"/>
      <c r="D469" s="5" t="n"/>
      <c r="E469" s="3" t="n"/>
      <c r="F469" s="3" t="n"/>
      <c r="G469" s="3" t="n"/>
      <c r="H469" s="3" t="n"/>
    </row>
    <row r="470">
      <c r="A470" s="3" t="n"/>
      <c r="B470" s="3" t="n"/>
      <c r="C470" s="4" t="n"/>
      <c r="D470" s="5" t="n"/>
      <c r="E470" s="3" t="n"/>
      <c r="F470" s="3" t="n"/>
      <c r="G470" s="3" t="n"/>
      <c r="H470" s="3" t="n"/>
    </row>
    <row r="471">
      <c r="A471" s="3" t="n"/>
      <c r="B471" s="3" t="n"/>
      <c r="C471" s="4" t="n"/>
      <c r="D471" s="5" t="n"/>
      <c r="E471" s="3" t="n"/>
      <c r="F471" s="3" t="n"/>
      <c r="G471" s="3" t="n"/>
      <c r="H471" s="3" t="n"/>
    </row>
    <row r="472">
      <c r="A472" s="3" t="n"/>
      <c r="B472" s="3" t="n"/>
      <c r="C472" s="4" t="n"/>
      <c r="D472" s="5" t="n"/>
      <c r="E472" s="3" t="n"/>
      <c r="F472" s="3" t="n"/>
      <c r="G472" s="3" t="n"/>
      <c r="H472" s="3" t="n"/>
    </row>
    <row r="473">
      <c r="A473" s="3" t="n"/>
      <c r="B473" s="3" t="n"/>
      <c r="C473" s="4" t="n"/>
      <c r="D473" s="5" t="n"/>
      <c r="E473" s="3" t="n"/>
      <c r="F473" s="3" t="n"/>
      <c r="G473" s="3" t="n"/>
      <c r="H473" s="3" t="n"/>
    </row>
    <row r="474">
      <c r="A474" s="3" t="n"/>
      <c r="B474" s="3" t="n"/>
      <c r="C474" s="4" t="n"/>
      <c r="D474" s="5" t="n"/>
      <c r="E474" s="3" t="n"/>
      <c r="F474" s="3" t="n"/>
      <c r="G474" s="3" t="n"/>
      <c r="H474" s="3" t="n"/>
    </row>
    <row r="475">
      <c r="A475" s="3" t="n"/>
      <c r="B475" s="3" t="n"/>
      <c r="C475" s="4" t="n"/>
      <c r="D475" s="5" t="n"/>
      <c r="E475" s="3" t="n"/>
      <c r="F475" s="3" t="n"/>
      <c r="G475" s="3" t="n"/>
      <c r="H475" s="3" t="n"/>
    </row>
    <row r="476">
      <c r="A476" s="3" t="n"/>
      <c r="B476" s="3" t="n"/>
      <c r="C476" s="4" t="n"/>
      <c r="D476" s="5" t="n"/>
      <c r="E476" s="3" t="n"/>
      <c r="F476" s="3" t="n"/>
      <c r="G476" s="3" t="n"/>
      <c r="H476" s="3" t="n"/>
    </row>
    <row r="477">
      <c r="A477" s="3" t="n"/>
      <c r="B477" s="3" t="n"/>
      <c r="C477" s="4" t="n"/>
      <c r="D477" s="5" t="n"/>
      <c r="E477" s="3" t="n"/>
      <c r="F477" s="3" t="n"/>
      <c r="G477" s="3" t="n"/>
      <c r="H477" s="3" t="n"/>
    </row>
    <row r="478">
      <c r="A478" s="3" t="n"/>
      <c r="B478" s="3" t="n"/>
      <c r="C478" s="4" t="n"/>
      <c r="D478" s="5" t="n"/>
      <c r="E478" s="3" t="n"/>
      <c r="F478" s="3" t="n"/>
      <c r="G478" s="3" t="n"/>
      <c r="H478" s="3" t="n"/>
    </row>
    <row r="479">
      <c r="A479" s="3" t="n"/>
      <c r="B479" s="3" t="n"/>
      <c r="C479" s="4" t="n"/>
      <c r="D479" s="5" t="n"/>
      <c r="E479" s="3" t="n"/>
      <c r="F479" s="3" t="n"/>
      <c r="G479" s="3" t="n"/>
      <c r="H479" s="3" t="n"/>
    </row>
    <row r="480">
      <c r="A480" s="3" t="n"/>
      <c r="B480" s="3" t="n"/>
      <c r="C480" s="4" t="n"/>
      <c r="D480" s="5" t="n"/>
      <c r="E480" s="3" t="n"/>
      <c r="F480" s="3" t="n"/>
      <c r="G480" s="3" t="n"/>
      <c r="H480" s="3" t="n"/>
    </row>
    <row r="481">
      <c r="A481" s="3" t="n"/>
      <c r="B481" s="3" t="n"/>
      <c r="C481" s="4" t="n"/>
      <c r="D481" s="5" t="n"/>
      <c r="E481" s="3" t="n"/>
      <c r="F481" s="3" t="n"/>
      <c r="G481" s="3" t="n"/>
      <c r="H481" s="3" t="n"/>
    </row>
    <row r="482">
      <c r="A482" s="3" t="n"/>
      <c r="B482" s="3" t="n"/>
      <c r="C482" s="4" t="n"/>
      <c r="D482" s="5" t="n"/>
      <c r="E482" s="3" t="n"/>
      <c r="F482" s="3" t="n"/>
      <c r="G482" s="3" t="n"/>
      <c r="H482" s="3" t="n"/>
    </row>
    <row r="483">
      <c r="A483" s="3" t="n"/>
      <c r="B483" s="3" t="n"/>
      <c r="C483" s="4" t="n"/>
      <c r="D483" s="5" t="n"/>
      <c r="E483" s="3" t="n"/>
      <c r="F483" s="3" t="n"/>
      <c r="G483" s="3" t="n"/>
      <c r="H483" s="3" t="n"/>
    </row>
    <row r="484">
      <c r="A484" s="3" t="n"/>
      <c r="B484" s="3" t="n"/>
      <c r="C484" s="4" t="n"/>
      <c r="D484" s="5" t="n"/>
      <c r="E484" s="3" t="n"/>
      <c r="F484" s="3" t="n"/>
      <c r="G484" s="3" t="n"/>
      <c r="H484" s="3" t="n"/>
    </row>
    <row r="485">
      <c r="A485" s="3" t="n"/>
      <c r="B485" s="3" t="n"/>
      <c r="C485" s="4" t="n"/>
      <c r="D485" s="5" t="n"/>
      <c r="E485" s="3" t="n"/>
      <c r="F485" s="3" t="n"/>
      <c r="G485" s="3" t="n"/>
      <c r="H485" s="3" t="n"/>
    </row>
    <row r="486">
      <c r="A486" s="3" t="n"/>
      <c r="B486" s="3" t="n"/>
      <c r="C486" s="4" t="n"/>
      <c r="D486" s="5" t="n"/>
      <c r="E486" s="3" t="n"/>
      <c r="F486" s="3" t="n"/>
      <c r="G486" s="3" t="n"/>
      <c r="H486" s="3" t="n"/>
    </row>
    <row r="487">
      <c r="A487" s="3" t="n"/>
      <c r="B487" s="3" t="n"/>
      <c r="C487" s="4" t="n"/>
      <c r="D487" s="5" t="n"/>
      <c r="E487" s="3" t="n"/>
      <c r="F487" s="3" t="n"/>
      <c r="G487" s="3" t="n"/>
      <c r="H487" s="3" t="n"/>
    </row>
    <row r="488">
      <c r="A488" s="3" t="n"/>
      <c r="B488" s="3" t="n"/>
      <c r="C488" s="4" t="n"/>
      <c r="D488" s="5" t="n"/>
      <c r="E488" s="3" t="n"/>
      <c r="F488" s="3" t="n"/>
      <c r="G488" s="3" t="n"/>
      <c r="H488" s="3" t="n"/>
    </row>
    <row r="489">
      <c r="A489" s="3" t="n"/>
      <c r="B489" s="3" t="n"/>
      <c r="C489" s="4" t="n"/>
      <c r="D489" s="5" t="n"/>
      <c r="E489" s="3" t="n"/>
      <c r="F489" s="3" t="n"/>
      <c r="G489" s="3" t="n"/>
      <c r="H489" s="3" t="n"/>
    </row>
    <row r="490">
      <c r="A490" s="3" t="n"/>
      <c r="B490" s="3" t="n"/>
      <c r="C490" s="4" t="n"/>
      <c r="D490" s="5" t="n"/>
      <c r="E490" s="3" t="n"/>
      <c r="F490" s="3" t="n"/>
      <c r="G490" s="3" t="n"/>
      <c r="H490" s="3" t="n"/>
    </row>
    <row r="491">
      <c r="A491" s="3" t="n"/>
      <c r="B491" s="3" t="n"/>
      <c r="C491" s="4" t="n"/>
      <c r="D491" s="5" t="n"/>
      <c r="E491" s="3" t="n"/>
      <c r="F491" s="3" t="n"/>
      <c r="G491" s="3" t="n"/>
      <c r="H491" s="3" t="n"/>
    </row>
    <row r="492">
      <c r="A492" s="3" t="n"/>
      <c r="B492" s="3" t="n"/>
      <c r="C492" s="4" t="n"/>
      <c r="D492" s="5" t="n"/>
      <c r="E492" s="3" t="n"/>
      <c r="F492" s="3" t="n"/>
      <c r="G492" s="3" t="n"/>
      <c r="H492" s="3" t="n"/>
    </row>
    <row r="493">
      <c r="A493" s="3" t="n"/>
      <c r="B493" s="3" t="n"/>
      <c r="C493" s="4" t="n"/>
      <c r="D493" s="5" t="n"/>
      <c r="E493" s="3" t="n"/>
      <c r="F493" s="3" t="n"/>
      <c r="G493" s="3" t="n"/>
      <c r="H493" s="3" t="n"/>
    </row>
    <row r="494">
      <c r="A494" s="3" t="n"/>
      <c r="B494" s="3" t="n"/>
      <c r="C494" s="4" t="n"/>
      <c r="D494" s="5" t="n"/>
      <c r="E494" s="3" t="n"/>
      <c r="F494" s="3" t="n"/>
      <c r="G494" s="3" t="n"/>
      <c r="H494" s="3" t="n"/>
    </row>
    <row r="495">
      <c r="A495" s="3" t="n"/>
      <c r="B495" s="3" t="n"/>
      <c r="C495" s="4" t="n"/>
      <c r="D495" s="5" t="n"/>
      <c r="E495" s="3" t="n"/>
      <c r="F495" s="3" t="n"/>
      <c r="G495" s="3" t="n"/>
      <c r="H495" s="3" t="n"/>
    </row>
    <row r="496">
      <c r="A496" s="3" t="n"/>
      <c r="B496" s="3" t="n"/>
      <c r="C496" s="4" t="n"/>
      <c r="D496" s="5" t="n"/>
      <c r="E496" s="3" t="n"/>
      <c r="F496" s="3" t="n"/>
      <c r="G496" s="3" t="n"/>
      <c r="H496" s="3" t="n"/>
    </row>
    <row r="497">
      <c r="A497" s="3" t="n"/>
      <c r="B497" s="3" t="n"/>
      <c r="C497" s="4" t="n"/>
      <c r="D497" s="5" t="n"/>
      <c r="E497" s="3" t="n"/>
      <c r="F497" s="3" t="n"/>
      <c r="G497" s="3" t="n"/>
      <c r="H497" s="3" t="n"/>
    </row>
    <row r="498">
      <c r="A498" s="3" t="n"/>
      <c r="B498" s="3" t="n"/>
      <c r="C498" s="4" t="n"/>
      <c r="D498" s="5" t="n"/>
      <c r="E498" s="3" t="n"/>
      <c r="F498" s="3" t="n"/>
      <c r="G498" s="3" t="n"/>
      <c r="H498" s="3" t="n"/>
    </row>
    <row r="499">
      <c r="A499" s="3" t="n"/>
      <c r="B499" s="3" t="n"/>
      <c r="C499" s="4" t="n"/>
      <c r="D499" s="5" t="n"/>
      <c r="E499" s="3" t="n"/>
      <c r="F499" s="3" t="n"/>
      <c r="G499" s="3" t="n"/>
      <c r="H499" s="3" t="n"/>
    </row>
    <row r="500">
      <c r="A500" s="3" t="n"/>
      <c r="B500" s="3" t="n"/>
      <c r="C500" s="4" t="n"/>
      <c r="D500" s="5" t="n"/>
      <c r="E500" s="3" t="n"/>
      <c r="F500" s="3" t="n"/>
      <c r="G500" s="3" t="n"/>
      <c r="H500" s="3" t="n"/>
    </row>
  </sheetData>
  <autoFilter ref="A2:H500"/>
  <mergeCells count="1">
    <mergeCell ref="A1:H1"/>
  </mergeCells>
  <dataValidations count="2">
    <dataValidation sqref="A3:A500" showDropDown="0" showInputMessage="0" showErrorMessage="0" allowBlank="1" type="list">
      <formula1>='Control OC'!$A$3:$A$301</formula1>
    </dataValidation>
    <dataValidation sqref="F3:F500" showDropDown="0" showInputMessage="0" showErrorMessage="0" allowBlank="1" type="list">
      <formula1>=Config!$C$2:$C$4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6" customWidth="1" min="3" max="3"/>
    <col width="28" customWidth="1" min="4" max="4"/>
    <col width="12" customWidth="1" min="5" max="5"/>
    <col width="28" customWidth="1" min="6" max="6"/>
    <col width="32" customWidth="1" min="7" max="7"/>
  </cols>
  <sheetData>
    <row r="1">
      <c r="A1" s="1" t="inlineStr">
        <is>
          <t>CATÁLOGO DE PROVEEDORES</t>
        </is>
      </c>
    </row>
    <row r="2">
      <c r="A2" s="10" t="inlineStr">
        <is>
          <t>Proveedor</t>
        </is>
      </c>
      <c r="B2" s="10" t="inlineStr">
        <is>
          <t>Contacto</t>
        </is>
      </c>
      <c r="C2" s="10" t="inlineStr">
        <is>
          <t>Teléfono</t>
        </is>
      </c>
      <c r="D2" s="10" t="inlineStr">
        <is>
          <t>Correo</t>
        </is>
      </c>
      <c r="E2" s="10" t="inlineStr">
        <is>
          <t>Días Crédito</t>
        </is>
      </c>
      <c r="F2" s="10" t="inlineStr">
        <is>
          <t>Cuenta / Banco</t>
        </is>
      </c>
      <c r="G2" s="10" t="inlineStr">
        <is>
          <t>Comentarios</t>
        </is>
      </c>
    </row>
    <row r="3">
      <c r="A3" s="3" t="inlineStr">
        <is>
          <t>Proveedor ejemplo A</t>
        </is>
      </c>
      <c r="B3" s="3" t="inlineStr"/>
      <c r="C3" s="3" t="inlineStr"/>
      <c r="D3" s="3" t="inlineStr"/>
      <c r="E3" s="3" t="n">
        <v>0</v>
      </c>
      <c r="F3" s="3" t="inlineStr"/>
      <c r="G3" s="3" t="inlineStr"/>
    </row>
    <row r="4">
      <c r="A4" s="3" t="inlineStr">
        <is>
          <t>Proveedor ejemplo B</t>
        </is>
      </c>
      <c r="B4" s="3" t="inlineStr"/>
      <c r="C4" s="3" t="inlineStr"/>
      <c r="D4" s="3" t="inlineStr"/>
      <c r="E4" s="3" t="n">
        <v>0</v>
      </c>
      <c r="F4" s="3" t="inlineStr"/>
      <c r="G4" s="3" t="inlineStr"/>
    </row>
    <row r="5">
      <c r="A5" s="3" t="n"/>
      <c r="B5" s="3" t="n"/>
      <c r="C5" s="3" t="n"/>
      <c r="D5" s="3" t="n"/>
      <c r="E5" s="3" t="n"/>
      <c r="F5" s="3" t="n"/>
      <c r="G5" s="3" t="n"/>
    </row>
    <row r="6">
      <c r="A6" s="3" t="n"/>
      <c r="B6" s="3" t="n"/>
      <c r="C6" s="3" t="n"/>
      <c r="D6" s="3" t="n"/>
      <c r="E6" s="3" t="n"/>
      <c r="F6" s="3" t="n"/>
      <c r="G6" s="3" t="n"/>
    </row>
    <row r="7">
      <c r="A7" s="3" t="n"/>
      <c r="B7" s="3" t="n"/>
      <c r="C7" s="3" t="n"/>
      <c r="D7" s="3" t="n"/>
      <c r="E7" s="3" t="n"/>
      <c r="F7" s="3" t="n"/>
      <c r="G7" s="3" t="n"/>
    </row>
    <row r="8">
      <c r="A8" s="3" t="n"/>
      <c r="B8" s="3" t="n"/>
      <c r="C8" s="3" t="n"/>
      <c r="D8" s="3" t="n"/>
      <c r="E8" s="3" t="n"/>
      <c r="F8" s="3" t="n"/>
      <c r="G8" s="3" t="n"/>
    </row>
    <row r="9">
      <c r="A9" s="3" t="n"/>
      <c r="B9" s="3" t="n"/>
      <c r="C9" s="3" t="n"/>
      <c r="D9" s="3" t="n"/>
      <c r="E9" s="3" t="n"/>
      <c r="F9" s="3" t="n"/>
      <c r="G9" s="3" t="n"/>
    </row>
    <row r="10">
      <c r="A10" s="3" t="n"/>
      <c r="B10" s="3" t="n"/>
      <c r="C10" s="3" t="n"/>
      <c r="D10" s="3" t="n"/>
      <c r="E10" s="3" t="n"/>
      <c r="F10" s="3" t="n"/>
      <c r="G10" s="3" t="n"/>
    </row>
    <row r="11">
      <c r="A11" s="3" t="n"/>
      <c r="B11" s="3" t="n"/>
      <c r="C11" s="3" t="n"/>
      <c r="D11" s="3" t="n"/>
      <c r="E11" s="3" t="n"/>
      <c r="F11" s="3" t="n"/>
      <c r="G11" s="3" t="n"/>
    </row>
    <row r="12">
      <c r="A12" s="3" t="n"/>
      <c r="B12" s="3" t="n"/>
      <c r="C12" s="3" t="n"/>
      <c r="D12" s="3" t="n"/>
      <c r="E12" s="3" t="n"/>
      <c r="F12" s="3" t="n"/>
      <c r="G12" s="3" t="n"/>
    </row>
    <row r="13">
      <c r="A13" s="3" t="n"/>
      <c r="B13" s="3" t="n"/>
      <c r="C13" s="3" t="n"/>
      <c r="D13" s="3" t="n"/>
      <c r="E13" s="3" t="n"/>
      <c r="F13" s="3" t="n"/>
      <c r="G13" s="3" t="n"/>
    </row>
    <row r="14">
      <c r="A14" s="3" t="n"/>
      <c r="B14" s="3" t="n"/>
      <c r="C14" s="3" t="n"/>
      <c r="D14" s="3" t="n"/>
      <c r="E14" s="3" t="n"/>
      <c r="F14" s="3" t="n"/>
      <c r="G14" s="3" t="n"/>
    </row>
    <row r="15">
      <c r="A15" s="3" t="n"/>
      <c r="B15" s="3" t="n"/>
      <c r="C15" s="3" t="n"/>
      <c r="D15" s="3" t="n"/>
      <c r="E15" s="3" t="n"/>
      <c r="F15" s="3" t="n"/>
      <c r="G15" s="3" t="n"/>
    </row>
    <row r="16">
      <c r="A16" s="3" t="n"/>
      <c r="B16" s="3" t="n"/>
      <c r="C16" s="3" t="n"/>
      <c r="D16" s="3" t="n"/>
      <c r="E16" s="3" t="n"/>
      <c r="F16" s="3" t="n"/>
      <c r="G16" s="3" t="n"/>
    </row>
    <row r="17">
      <c r="A17" s="3" t="n"/>
      <c r="B17" s="3" t="n"/>
      <c r="C17" s="3" t="n"/>
      <c r="D17" s="3" t="n"/>
      <c r="E17" s="3" t="n"/>
      <c r="F17" s="3" t="n"/>
      <c r="G17" s="3" t="n"/>
    </row>
    <row r="18">
      <c r="A18" s="3" t="n"/>
      <c r="B18" s="3" t="n"/>
      <c r="C18" s="3" t="n"/>
      <c r="D18" s="3" t="n"/>
      <c r="E18" s="3" t="n"/>
      <c r="F18" s="3" t="n"/>
      <c r="G18" s="3" t="n"/>
    </row>
    <row r="19">
      <c r="A19" s="3" t="n"/>
      <c r="B19" s="3" t="n"/>
      <c r="C19" s="3" t="n"/>
      <c r="D19" s="3" t="n"/>
      <c r="E19" s="3" t="n"/>
      <c r="F19" s="3" t="n"/>
      <c r="G19" s="3" t="n"/>
    </row>
    <row r="20">
      <c r="A20" s="3" t="n"/>
      <c r="B20" s="3" t="n"/>
      <c r="C20" s="3" t="n"/>
      <c r="D20" s="3" t="n"/>
      <c r="E20" s="3" t="n"/>
      <c r="F20" s="3" t="n"/>
      <c r="G20" s="3" t="n"/>
    </row>
    <row r="21">
      <c r="A21" s="3" t="n"/>
      <c r="B21" s="3" t="n"/>
      <c r="C21" s="3" t="n"/>
      <c r="D21" s="3" t="n"/>
      <c r="E21" s="3" t="n"/>
      <c r="F21" s="3" t="n"/>
      <c r="G21" s="3" t="n"/>
    </row>
    <row r="22">
      <c r="A22" s="3" t="n"/>
      <c r="B22" s="3" t="n"/>
      <c r="C22" s="3" t="n"/>
      <c r="D22" s="3" t="n"/>
      <c r="E22" s="3" t="n"/>
      <c r="F22" s="3" t="n"/>
      <c r="G22" s="3" t="n"/>
    </row>
    <row r="23">
      <c r="A23" s="3" t="n"/>
      <c r="B23" s="3" t="n"/>
      <c r="C23" s="3" t="n"/>
      <c r="D23" s="3" t="n"/>
      <c r="E23" s="3" t="n"/>
      <c r="F23" s="3" t="n"/>
      <c r="G23" s="3" t="n"/>
    </row>
    <row r="24">
      <c r="A24" s="3" t="n"/>
      <c r="B24" s="3" t="n"/>
      <c r="C24" s="3" t="n"/>
      <c r="D24" s="3" t="n"/>
      <c r="E24" s="3" t="n"/>
      <c r="F24" s="3" t="n"/>
      <c r="G24" s="3" t="n"/>
    </row>
    <row r="25">
      <c r="A25" s="3" t="n"/>
      <c r="B25" s="3" t="n"/>
      <c r="C25" s="3" t="n"/>
      <c r="D25" s="3" t="n"/>
      <c r="E25" s="3" t="n"/>
      <c r="F25" s="3" t="n"/>
      <c r="G25" s="3" t="n"/>
    </row>
    <row r="26">
      <c r="A26" s="3" t="n"/>
      <c r="B26" s="3" t="n"/>
      <c r="C26" s="3" t="n"/>
      <c r="D26" s="3" t="n"/>
      <c r="E26" s="3" t="n"/>
      <c r="F26" s="3" t="n"/>
      <c r="G26" s="3" t="n"/>
    </row>
    <row r="27">
      <c r="A27" s="3" t="n"/>
      <c r="B27" s="3" t="n"/>
      <c r="C27" s="3" t="n"/>
      <c r="D27" s="3" t="n"/>
      <c r="E27" s="3" t="n"/>
      <c r="F27" s="3" t="n"/>
      <c r="G27" s="3" t="n"/>
    </row>
    <row r="28">
      <c r="A28" s="3" t="n"/>
      <c r="B28" s="3" t="n"/>
      <c r="C28" s="3" t="n"/>
      <c r="D28" s="3" t="n"/>
      <c r="E28" s="3" t="n"/>
      <c r="F28" s="3" t="n"/>
      <c r="G28" s="3" t="n"/>
    </row>
    <row r="29">
      <c r="A29" s="3" t="n"/>
      <c r="B29" s="3" t="n"/>
      <c r="C29" s="3" t="n"/>
      <c r="D29" s="3" t="n"/>
      <c r="E29" s="3" t="n"/>
      <c r="F29" s="3" t="n"/>
      <c r="G29" s="3" t="n"/>
    </row>
    <row r="30">
      <c r="A30" s="3" t="n"/>
      <c r="B30" s="3" t="n"/>
      <c r="C30" s="3" t="n"/>
      <c r="D30" s="3" t="n"/>
      <c r="E30" s="3" t="n"/>
      <c r="F30" s="3" t="n"/>
      <c r="G30" s="3" t="n"/>
    </row>
    <row r="31">
      <c r="A31" s="3" t="n"/>
      <c r="B31" s="3" t="n"/>
      <c r="C31" s="3" t="n"/>
      <c r="D31" s="3" t="n"/>
      <c r="E31" s="3" t="n"/>
      <c r="F31" s="3" t="n"/>
      <c r="G31" s="3" t="n"/>
    </row>
    <row r="32">
      <c r="A32" s="3" t="n"/>
      <c r="B32" s="3" t="n"/>
      <c r="C32" s="3" t="n"/>
      <c r="D32" s="3" t="n"/>
      <c r="E32" s="3" t="n"/>
      <c r="F32" s="3" t="n"/>
      <c r="G32" s="3" t="n"/>
    </row>
    <row r="33">
      <c r="A33" s="3" t="n"/>
      <c r="B33" s="3" t="n"/>
      <c r="C33" s="3" t="n"/>
      <c r="D33" s="3" t="n"/>
      <c r="E33" s="3" t="n"/>
      <c r="F33" s="3" t="n"/>
      <c r="G33" s="3" t="n"/>
    </row>
    <row r="34">
      <c r="A34" s="3" t="n"/>
      <c r="B34" s="3" t="n"/>
      <c r="C34" s="3" t="n"/>
      <c r="D34" s="3" t="n"/>
      <c r="E34" s="3" t="n"/>
      <c r="F34" s="3" t="n"/>
      <c r="G34" s="3" t="n"/>
    </row>
    <row r="35">
      <c r="A35" s="3" t="n"/>
      <c r="B35" s="3" t="n"/>
      <c r="C35" s="3" t="n"/>
      <c r="D35" s="3" t="n"/>
      <c r="E35" s="3" t="n"/>
      <c r="F35" s="3" t="n"/>
      <c r="G35" s="3" t="n"/>
    </row>
    <row r="36">
      <c r="A36" s="3" t="n"/>
      <c r="B36" s="3" t="n"/>
      <c r="C36" s="3" t="n"/>
      <c r="D36" s="3" t="n"/>
      <c r="E36" s="3" t="n"/>
      <c r="F36" s="3" t="n"/>
      <c r="G36" s="3" t="n"/>
    </row>
    <row r="37">
      <c r="A37" s="3" t="n"/>
      <c r="B37" s="3" t="n"/>
      <c r="C37" s="3" t="n"/>
      <c r="D37" s="3" t="n"/>
      <c r="E37" s="3" t="n"/>
      <c r="F37" s="3" t="n"/>
      <c r="G37" s="3" t="n"/>
    </row>
    <row r="38">
      <c r="A38" s="3" t="n"/>
      <c r="B38" s="3" t="n"/>
      <c r="C38" s="3" t="n"/>
      <c r="D38" s="3" t="n"/>
      <c r="E38" s="3" t="n"/>
      <c r="F38" s="3" t="n"/>
      <c r="G38" s="3" t="n"/>
    </row>
    <row r="39">
      <c r="A39" s="3" t="n"/>
      <c r="B39" s="3" t="n"/>
      <c r="C39" s="3" t="n"/>
      <c r="D39" s="3" t="n"/>
      <c r="E39" s="3" t="n"/>
      <c r="F39" s="3" t="n"/>
      <c r="G39" s="3" t="n"/>
    </row>
    <row r="40">
      <c r="A40" s="3" t="n"/>
      <c r="B40" s="3" t="n"/>
      <c r="C40" s="3" t="n"/>
      <c r="D40" s="3" t="n"/>
      <c r="E40" s="3" t="n"/>
      <c r="F40" s="3" t="n"/>
      <c r="G40" s="3" t="n"/>
    </row>
    <row r="41">
      <c r="A41" s="3" t="n"/>
      <c r="B41" s="3" t="n"/>
      <c r="C41" s="3" t="n"/>
      <c r="D41" s="3" t="n"/>
      <c r="E41" s="3" t="n"/>
      <c r="F41" s="3" t="n"/>
      <c r="G41" s="3" t="n"/>
    </row>
    <row r="42">
      <c r="A42" s="3" t="n"/>
      <c r="B42" s="3" t="n"/>
      <c r="C42" s="3" t="n"/>
      <c r="D42" s="3" t="n"/>
      <c r="E42" s="3" t="n"/>
      <c r="F42" s="3" t="n"/>
      <c r="G42" s="3" t="n"/>
    </row>
    <row r="43">
      <c r="A43" s="3" t="n"/>
      <c r="B43" s="3" t="n"/>
      <c r="C43" s="3" t="n"/>
      <c r="D43" s="3" t="n"/>
      <c r="E43" s="3" t="n"/>
      <c r="F43" s="3" t="n"/>
      <c r="G43" s="3" t="n"/>
    </row>
    <row r="44">
      <c r="A44" s="3" t="n"/>
      <c r="B44" s="3" t="n"/>
      <c r="C44" s="3" t="n"/>
      <c r="D44" s="3" t="n"/>
      <c r="E44" s="3" t="n"/>
      <c r="F44" s="3" t="n"/>
      <c r="G44" s="3" t="n"/>
    </row>
    <row r="45">
      <c r="A45" s="3" t="n"/>
      <c r="B45" s="3" t="n"/>
      <c r="C45" s="3" t="n"/>
      <c r="D45" s="3" t="n"/>
      <c r="E45" s="3" t="n"/>
      <c r="F45" s="3" t="n"/>
      <c r="G45" s="3" t="n"/>
    </row>
    <row r="46">
      <c r="A46" s="3" t="n"/>
      <c r="B46" s="3" t="n"/>
      <c r="C46" s="3" t="n"/>
      <c r="D46" s="3" t="n"/>
      <c r="E46" s="3" t="n"/>
      <c r="F46" s="3" t="n"/>
      <c r="G46" s="3" t="n"/>
    </row>
    <row r="47">
      <c r="A47" s="3" t="n"/>
      <c r="B47" s="3" t="n"/>
      <c r="C47" s="3" t="n"/>
      <c r="D47" s="3" t="n"/>
      <c r="E47" s="3" t="n"/>
      <c r="F47" s="3" t="n"/>
      <c r="G47" s="3" t="n"/>
    </row>
    <row r="48">
      <c r="A48" s="3" t="n"/>
      <c r="B48" s="3" t="n"/>
      <c r="C48" s="3" t="n"/>
      <c r="D48" s="3" t="n"/>
      <c r="E48" s="3" t="n"/>
      <c r="F48" s="3" t="n"/>
      <c r="G48" s="3" t="n"/>
    </row>
    <row r="49">
      <c r="A49" s="3" t="n"/>
      <c r="B49" s="3" t="n"/>
      <c r="C49" s="3" t="n"/>
      <c r="D49" s="3" t="n"/>
      <c r="E49" s="3" t="n"/>
      <c r="F49" s="3" t="n"/>
      <c r="G49" s="3" t="n"/>
    </row>
    <row r="50">
      <c r="A50" s="3" t="n"/>
      <c r="B50" s="3" t="n"/>
      <c r="C50" s="3" t="n"/>
      <c r="D50" s="3" t="n"/>
      <c r="E50" s="3" t="n"/>
      <c r="F50" s="3" t="n"/>
      <c r="G50" s="3" t="n"/>
    </row>
    <row r="51">
      <c r="A51" s="3" t="n"/>
      <c r="B51" s="3" t="n"/>
      <c r="C51" s="3" t="n"/>
      <c r="D51" s="3" t="n"/>
      <c r="E51" s="3" t="n"/>
      <c r="F51" s="3" t="n"/>
      <c r="G51" s="3" t="n"/>
    </row>
    <row r="52">
      <c r="A52" s="3" t="n"/>
      <c r="B52" s="3" t="n"/>
      <c r="C52" s="3" t="n"/>
      <c r="D52" s="3" t="n"/>
      <c r="E52" s="3" t="n"/>
      <c r="F52" s="3" t="n"/>
      <c r="G52" s="3" t="n"/>
    </row>
    <row r="53">
      <c r="A53" s="3" t="n"/>
      <c r="B53" s="3" t="n"/>
      <c r="C53" s="3" t="n"/>
      <c r="D53" s="3" t="n"/>
      <c r="E53" s="3" t="n"/>
      <c r="F53" s="3" t="n"/>
      <c r="G53" s="3" t="n"/>
    </row>
    <row r="54">
      <c r="A54" s="3" t="n"/>
      <c r="B54" s="3" t="n"/>
      <c r="C54" s="3" t="n"/>
      <c r="D54" s="3" t="n"/>
      <c r="E54" s="3" t="n"/>
      <c r="F54" s="3" t="n"/>
      <c r="G54" s="3" t="n"/>
    </row>
    <row r="55">
      <c r="A55" s="3" t="n"/>
      <c r="B55" s="3" t="n"/>
      <c r="C55" s="3" t="n"/>
      <c r="D55" s="3" t="n"/>
      <c r="E55" s="3" t="n"/>
      <c r="F55" s="3" t="n"/>
      <c r="G55" s="3" t="n"/>
    </row>
    <row r="56">
      <c r="A56" s="3" t="n"/>
      <c r="B56" s="3" t="n"/>
      <c r="C56" s="3" t="n"/>
      <c r="D56" s="3" t="n"/>
      <c r="E56" s="3" t="n"/>
      <c r="F56" s="3" t="n"/>
      <c r="G56" s="3" t="n"/>
    </row>
    <row r="57">
      <c r="A57" s="3" t="n"/>
      <c r="B57" s="3" t="n"/>
      <c r="C57" s="3" t="n"/>
      <c r="D57" s="3" t="n"/>
      <c r="E57" s="3" t="n"/>
      <c r="F57" s="3" t="n"/>
      <c r="G57" s="3" t="n"/>
    </row>
    <row r="58">
      <c r="A58" s="3" t="n"/>
      <c r="B58" s="3" t="n"/>
      <c r="C58" s="3" t="n"/>
      <c r="D58" s="3" t="n"/>
      <c r="E58" s="3" t="n"/>
      <c r="F58" s="3" t="n"/>
      <c r="G58" s="3" t="n"/>
    </row>
    <row r="59">
      <c r="A59" s="3" t="n"/>
      <c r="B59" s="3" t="n"/>
      <c r="C59" s="3" t="n"/>
      <c r="D59" s="3" t="n"/>
      <c r="E59" s="3" t="n"/>
      <c r="F59" s="3" t="n"/>
      <c r="G59" s="3" t="n"/>
    </row>
    <row r="60">
      <c r="A60" s="3" t="n"/>
      <c r="B60" s="3" t="n"/>
      <c r="C60" s="3" t="n"/>
      <c r="D60" s="3" t="n"/>
      <c r="E60" s="3" t="n"/>
      <c r="F60" s="3" t="n"/>
      <c r="G60" s="3" t="n"/>
    </row>
    <row r="61">
      <c r="A61" s="3" t="n"/>
      <c r="B61" s="3" t="n"/>
      <c r="C61" s="3" t="n"/>
      <c r="D61" s="3" t="n"/>
      <c r="E61" s="3" t="n"/>
      <c r="F61" s="3" t="n"/>
      <c r="G61" s="3" t="n"/>
    </row>
    <row r="62">
      <c r="A62" s="3" t="n"/>
      <c r="B62" s="3" t="n"/>
      <c r="C62" s="3" t="n"/>
      <c r="D62" s="3" t="n"/>
      <c r="E62" s="3" t="n"/>
      <c r="F62" s="3" t="n"/>
      <c r="G62" s="3" t="n"/>
    </row>
    <row r="63">
      <c r="A63" s="3" t="n"/>
      <c r="B63" s="3" t="n"/>
      <c r="C63" s="3" t="n"/>
      <c r="D63" s="3" t="n"/>
      <c r="E63" s="3" t="n"/>
      <c r="F63" s="3" t="n"/>
      <c r="G63" s="3" t="n"/>
    </row>
    <row r="64">
      <c r="A64" s="3" t="n"/>
      <c r="B64" s="3" t="n"/>
      <c r="C64" s="3" t="n"/>
      <c r="D64" s="3" t="n"/>
      <c r="E64" s="3" t="n"/>
      <c r="F64" s="3" t="n"/>
      <c r="G64" s="3" t="n"/>
    </row>
    <row r="65">
      <c r="A65" s="3" t="n"/>
      <c r="B65" s="3" t="n"/>
      <c r="C65" s="3" t="n"/>
      <c r="D65" s="3" t="n"/>
      <c r="E65" s="3" t="n"/>
      <c r="F65" s="3" t="n"/>
      <c r="G65" s="3" t="n"/>
    </row>
    <row r="66">
      <c r="A66" s="3" t="n"/>
      <c r="B66" s="3" t="n"/>
      <c r="C66" s="3" t="n"/>
      <c r="D66" s="3" t="n"/>
      <c r="E66" s="3" t="n"/>
      <c r="F66" s="3" t="n"/>
      <c r="G66" s="3" t="n"/>
    </row>
    <row r="67">
      <c r="A67" s="3" t="n"/>
      <c r="B67" s="3" t="n"/>
      <c r="C67" s="3" t="n"/>
      <c r="D67" s="3" t="n"/>
      <c r="E67" s="3" t="n"/>
      <c r="F67" s="3" t="n"/>
      <c r="G67" s="3" t="n"/>
    </row>
    <row r="68">
      <c r="A68" s="3" t="n"/>
      <c r="B68" s="3" t="n"/>
      <c r="C68" s="3" t="n"/>
      <c r="D68" s="3" t="n"/>
      <c r="E68" s="3" t="n"/>
      <c r="F68" s="3" t="n"/>
      <c r="G68" s="3" t="n"/>
    </row>
    <row r="69">
      <c r="A69" s="3" t="n"/>
      <c r="B69" s="3" t="n"/>
      <c r="C69" s="3" t="n"/>
      <c r="D69" s="3" t="n"/>
      <c r="E69" s="3" t="n"/>
      <c r="F69" s="3" t="n"/>
      <c r="G69" s="3" t="n"/>
    </row>
    <row r="70">
      <c r="A70" s="3" t="n"/>
      <c r="B70" s="3" t="n"/>
      <c r="C70" s="3" t="n"/>
      <c r="D70" s="3" t="n"/>
      <c r="E70" s="3" t="n"/>
      <c r="F70" s="3" t="n"/>
      <c r="G70" s="3" t="n"/>
    </row>
    <row r="71">
      <c r="A71" s="3" t="n"/>
      <c r="B71" s="3" t="n"/>
      <c r="C71" s="3" t="n"/>
      <c r="D71" s="3" t="n"/>
      <c r="E71" s="3" t="n"/>
      <c r="F71" s="3" t="n"/>
      <c r="G71" s="3" t="n"/>
    </row>
    <row r="72">
      <c r="A72" s="3" t="n"/>
      <c r="B72" s="3" t="n"/>
      <c r="C72" s="3" t="n"/>
      <c r="D72" s="3" t="n"/>
      <c r="E72" s="3" t="n"/>
      <c r="F72" s="3" t="n"/>
      <c r="G72" s="3" t="n"/>
    </row>
    <row r="73">
      <c r="A73" s="3" t="n"/>
      <c r="B73" s="3" t="n"/>
      <c r="C73" s="3" t="n"/>
      <c r="D73" s="3" t="n"/>
      <c r="E73" s="3" t="n"/>
      <c r="F73" s="3" t="n"/>
      <c r="G73" s="3" t="n"/>
    </row>
    <row r="74">
      <c r="A74" s="3" t="n"/>
      <c r="B74" s="3" t="n"/>
      <c r="C74" s="3" t="n"/>
      <c r="D74" s="3" t="n"/>
      <c r="E74" s="3" t="n"/>
      <c r="F74" s="3" t="n"/>
      <c r="G74" s="3" t="n"/>
    </row>
    <row r="75">
      <c r="A75" s="3" t="n"/>
      <c r="B75" s="3" t="n"/>
      <c r="C75" s="3" t="n"/>
      <c r="D75" s="3" t="n"/>
      <c r="E75" s="3" t="n"/>
      <c r="F75" s="3" t="n"/>
      <c r="G75" s="3" t="n"/>
    </row>
    <row r="76">
      <c r="A76" s="3" t="n"/>
      <c r="B76" s="3" t="n"/>
      <c r="C76" s="3" t="n"/>
      <c r="D76" s="3" t="n"/>
      <c r="E76" s="3" t="n"/>
      <c r="F76" s="3" t="n"/>
      <c r="G76" s="3" t="n"/>
    </row>
    <row r="77">
      <c r="A77" s="3" t="n"/>
      <c r="B77" s="3" t="n"/>
      <c r="C77" s="3" t="n"/>
      <c r="D77" s="3" t="n"/>
      <c r="E77" s="3" t="n"/>
      <c r="F77" s="3" t="n"/>
      <c r="G77" s="3" t="n"/>
    </row>
    <row r="78">
      <c r="A78" s="3" t="n"/>
      <c r="B78" s="3" t="n"/>
      <c r="C78" s="3" t="n"/>
      <c r="D78" s="3" t="n"/>
      <c r="E78" s="3" t="n"/>
      <c r="F78" s="3" t="n"/>
      <c r="G78" s="3" t="n"/>
    </row>
    <row r="79">
      <c r="A79" s="3" t="n"/>
      <c r="B79" s="3" t="n"/>
      <c r="C79" s="3" t="n"/>
      <c r="D79" s="3" t="n"/>
      <c r="E79" s="3" t="n"/>
      <c r="F79" s="3" t="n"/>
      <c r="G79" s="3" t="n"/>
    </row>
    <row r="80">
      <c r="A80" s="3" t="n"/>
      <c r="B80" s="3" t="n"/>
      <c r="C80" s="3" t="n"/>
      <c r="D80" s="3" t="n"/>
      <c r="E80" s="3" t="n"/>
      <c r="F80" s="3" t="n"/>
      <c r="G80" s="3" t="n"/>
    </row>
    <row r="81">
      <c r="A81" s="3" t="n"/>
      <c r="B81" s="3" t="n"/>
      <c r="C81" s="3" t="n"/>
      <c r="D81" s="3" t="n"/>
      <c r="E81" s="3" t="n"/>
      <c r="F81" s="3" t="n"/>
      <c r="G81" s="3" t="n"/>
    </row>
    <row r="82">
      <c r="A82" s="3" t="n"/>
      <c r="B82" s="3" t="n"/>
      <c r="C82" s="3" t="n"/>
      <c r="D82" s="3" t="n"/>
      <c r="E82" s="3" t="n"/>
      <c r="F82" s="3" t="n"/>
      <c r="G82" s="3" t="n"/>
    </row>
    <row r="83">
      <c r="A83" s="3" t="n"/>
      <c r="B83" s="3" t="n"/>
      <c r="C83" s="3" t="n"/>
      <c r="D83" s="3" t="n"/>
      <c r="E83" s="3" t="n"/>
      <c r="F83" s="3" t="n"/>
      <c r="G83" s="3" t="n"/>
    </row>
    <row r="84">
      <c r="A84" s="3" t="n"/>
      <c r="B84" s="3" t="n"/>
      <c r="C84" s="3" t="n"/>
      <c r="D84" s="3" t="n"/>
      <c r="E84" s="3" t="n"/>
      <c r="F84" s="3" t="n"/>
      <c r="G84" s="3" t="n"/>
    </row>
    <row r="85">
      <c r="A85" s="3" t="n"/>
      <c r="B85" s="3" t="n"/>
      <c r="C85" s="3" t="n"/>
      <c r="D85" s="3" t="n"/>
      <c r="E85" s="3" t="n"/>
      <c r="F85" s="3" t="n"/>
      <c r="G85" s="3" t="n"/>
    </row>
    <row r="86">
      <c r="A86" s="3" t="n"/>
      <c r="B86" s="3" t="n"/>
      <c r="C86" s="3" t="n"/>
      <c r="D86" s="3" t="n"/>
      <c r="E86" s="3" t="n"/>
      <c r="F86" s="3" t="n"/>
      <c r="G86" s="3" t="n"/>
    </row>
    <row r="87">
      <c r="A87" s="3" t="n"/>
      <c r="B87" s="3" t="n"/>
      <c r="C87" s="3" t="n"/>
      <c r="D87" s="3" t="n"/>
      <c r="E87" s="3" t="n"/>
      <c r="F87" s="3" t="n"/>
      <c r="G87" s="3" t="n"/>
    </row>
    <row r="88">
      <c r="A88" s="3" t="n"/>
      <c r="B88" s="3" t="n"/>
      <c r="C88" s="3" t="n"/>
      <c r="D88" s="3" t="n"/>
      <c r="E88" s="3" t="n"/>
      <c r="F88" s="3" t="n"/>
      <c r="G88" s="3" t="n"/>
    </row>
    <row r="89">
      <c r="A89" s="3" t="n"/>
      <c r="B89" s="3" t="n"/>
      <c r="C89" s="3" t="n"/>
      <c r="D89" s="3" t="n"/>
      <c r="E89" s="3" t="n"/>
      <c r="F89" s="3" t="n"/>
      <c r="G89" s="3" t="n"/>
    </row>
    <row r="90">
      <c r="A90" s="3" t="n"/>
      <c r="B90" s="3" t="n"/>
      <c r="C90" s="3" t="n"/>
      <c r="D90" s="3" t="n"/>
      <c r="E90" s="3" t="n"/>
      <c r="F90" s="3" t="n"/>
      <c r="G90" s="3" t="n"/>
    </row>
    <row r="91">
      <c r="A91" s="3" t="n"/>
      <c r="B91" s="3" t="n"/>
      <c r="C91" s="3" t="n"/>
      <c r="D91" s="3" t="n"/>
      <c r="E91" s="3" t="n"/>
      <c r="F91" s="3" t="n"/>
      <c r="G91" s="3" t="n"/>
    </row>
    <row r="92">
      <c r="A92" s="3" t="n"/>
      <c r="B92" s="3" t="n"/>
      <c r="C92" s="3" t="n"/>
      <c r="D92" s="3" t="n"/>
      <c r="E92" s="3" t="n"/>
      <c r="F92" s="3" t="n"/>
      <c r="G92" s="3" t="n"/>
    </row>
    <row r="93">
      <c r="A93" s="3" t="n"/>
      <c r="B93" s="3" t="n"/>
      <c r="C93" s="3" t="n"/>
      <c r="D93" s="3" t="n"/>
      <c r="E93" s="3" t="n"/>
      <c r="F93" s="3" t="n"/>
      <c r="G93" s="3" t="n"/>
    </row>
    <row r="94">
      <c r="A94" s="3" t="n"/>
      <c r="B94" s="3" t="n"/>
      <c r="C94" s="3" t="n"/>
      <c r="D94" s="3" t="n"/>
      <c r="E94" s="3" t="n"/>
      <c r="F94" s="3" t="n"/>
      <c r="G94" s="3" t="n"/>
    </row>
    <row r="95">
      <c r="A95" s="3" t="n"/>
      <c r="B95" s="3" t="n"/>
      <c r="C95" s="3" t="n"/>
      <c r="D95" s="3" t="n"/>
      <c r="E95" s="3" t="n"/>
      <c r="F95" s="3" t="n"/>
      <c r="G95" s="3" t="n"/>
    </row>
    <row r="96">
      <c r="A96" s="3" t="n"/>
      <c r="B96" s="3" t="n"/>
      <c r="C96" s="3" t="n"/>
      <c r="D96" s="3" t="n"/>
      <c r="E96" s="3" t="n"/>
      <c r="F96" s="3" t="n"/>
      <c r="G96" s="3" t="n"/>
    </row>
    <row r="97">
      <c r="A97" s="3" t="n"/>
      <c r="B97" s="3" t="n"/>
      <c r="C97" s="3" t="n"/>
      <c r="D97" s="3" t="n"/>
      <c r="E97" s="3" t="n"/>
      <c r="F97" s="3" t="n"/>
      <c r="G97" s="3" t="n"/>
    </row>
    <row r="98">
      <c r="A98" s="3" t="n"/>
      <c r="B98" s="3" t="n"/>
      <c r="C98" s="3" t="n"/>
      <c r="D98" s="3" t="n"/>
      <c r="E98" s="3" t="n"/>
      <c r="F98" s="3" t="n"/>
      <c r="G98" s="3" t="n"/>
    </row>
    <row r="99">
      <c r="A99" s="3" t="n"/>
      <c r="B99" s="3" t="n"/>
      <c r="C99" s="3" t="n"/>
      <c r="D99" s="3" t="n"/>
      <c r="E99" s="3" t="n"/>
      <c r="F99" s="3" t="n"/>
      <c r="G99" s="3" t="n"/>
    </row>
    <row r="100">
      <c r="A100" s="3" t="n"/>
      <c r="B100" s="3" t="n"/>
      <c r="C100" s="3" t="n"/>
      <c r="D100" s="3" t="n"/>
      <c r="E100" s="3" t="n"/>
      <c r="F100" s="3" t="n"/>
      <c r="G100" s="3" t="n"/>
    </row>
    <row r="101">
      <c r="A101" s="3" t="n"/>
      <c r="B101" s="3" t="n"/>
      <c r="C101" s="3" t="n"/>
      <c r="D101" s="3" t="n"/>
      <c r="E101" s="3" t="n"/>
      <c r="F101" s="3" t="n"/>
      <c r="G101" s="3" t="n"/>
    </row>
    <row r="102">
      <c r="A102" s="3" t="n"/>
      <c r="B102" s="3" t="n"/>
      <c r="C102" s="3" t="n"/>
      <c r="D102" s="3" t="n"/>
      <c r="E102" s="3" t="n"/>
      <c r="F102" s="3" t="n"/>
      <c r="G102" s="3" t="n"/>
    </row>
    <row r="103">
      <c r="A103" s="3" t="n"/>
      <c r="B103" s="3" t="n"/>
      <c r="C103" s="3" t="n"/>
      <c r="D103" s="3" t="n"/>
      <c r="E103" s="3" t="n"/>
      <c r="F103" s="3" t="n"/>
      <c r="G103" s="3" t="n"/>
    </row>
    <row r="104">
      <c r="A104" s="3" t="n"/>
      <c r="B104" s="3" t="n"/>
      <c r="C104" s="3" t="n"/>
      <c r="D104" s="3" t="n"/>
      <c r="E104" s="3" t="n"/>
      <c r="F104" s="3" t="n"/>
      <c r="G104" s="3" t="n"/>
    </row>
    <row r="105">
      <c r="A105" s="3" t="n"/>
      <c r="B105" s="3" t="n"/>
      <c r="C105" s="3" t="n"/>
      <c r="D105" s="3" t="n"/>
      <c r="E105" s="3" t="n"/>
      <c r="F105" s="3" t="n"/>
      <c r="G105" s="3" t="n"/>
    </row>
    <row r="106">
      <c r="A106" s="3" t="n"/>
      <c r="B106" s="3" t="n"/>
      <c r="C106" s="3" t="n"/>
      <c r="D106" s="3" t="n"/>
      <c r="E106" s="3" t="n"/>
      <c r="F106" s="3" t="n"/>
      <c r="G106" s="3" t="n"/>
    </row>
    <row r="107">
      <c r="A107" s="3" t="n"/>
      <c r="B107" s="3" t="n"/>
      <c r="C107" s="3" t="n"/>
      <c r="D107" s="3" t="n"/>
      <c r="E107" s="3" t="n"/>
      <c r="F107" s="3" t="n"/>
      <c r="G107" s="3" t="n"/>
    </row>
    <row r="108">
      <c r="A108" s="3" t="n"/>
      <c r="B108" s="3" t="n"/>
      <c r="C108" s="3" t="n"/>
      <c r="D108" s="3" t="n"/>
      <c r="E108" s="3" t="n"/>
      <c r="F108" s="3" t="n"/>
      <c r="G108" s="3" t="n"/>
    </row>
    <row r="109">
      <c r="A109" s="3" t="n"/>
      <c r="B109" s="3" t="n"/>
      <c r="C109" s="3" t="n"/>
      <c r="D109" s="3" t="n"/>
      <c r="E109" s="3" t="n"/>
      <c r="F109" s="3" t="n"/>
      <c r="G109" s="3" t="n"/>
    </row>
    <row r="110">
      <c r="A110" s="3" t="n"/>
      <c r="B110" s="3" t="n"/>
      <c r="C110" s="3" t="n"/>
      <c r="D110" s="3" t="n"/>
      <c r="E110" s="3" t="n"/>
      <c r="F110" s="3" t="n"/>
      <c r="G110" s="3" t="n"/>
    </row>
    <row r="111">
      <c r="A111" s="3" t="n"/>
      <c r="B111" s="3" t="n"/>
      <c r="C111" s="3" t="n"/>
      <c r="D111" s="3" t="n"/>
      <c r="E111" s="3" t="n"/>
      <c r="F111" s="3" t="n"/>
      <c r="G111" s="3" t="n"/>
    </row>
    <row r="112">
      <c r="A112" s="3" t="n"/>
      <c r="B112" s="3" t="n"/>
      <c r="C112" s="3" t="n"/>
      <c r="D112" s="3" t="n"/>
      <c r="E112" s="3" t="n"/>
      <c r="F112" s="3" t="n"/>
      <c r="G112" s="3" t="n"/>
    </row>
    <row r="113">
      <c r="A113" s="3" t="n"/>
      <c r="B113" s="3" t="n"/>
      <c r="C113" s="3" t="n"/>
      <c r="D113" s="3" t="n"/>
      <c r="E113" s="3" t="n"/>
      <c r="F113" s="3" t="n"/>
      <c r="G113" s="3" t="n"/>
    </row>
    <row r="114">
      <c r="A114" s="3" t="n"/>
      <c r="B114" s="3" t="n"/>
      <c r="C114" s="3" t="n"/>
      <c r="D114" s="3" t="n"/>
      <c r="E114" s="3" t="n"/>
      <c r="F114" s="3" t="n"/>
      <c r="G114" s="3" t="n"/>
    </row>
    <row r="115">
      <c r="A115" s="3" t="n"/>
      <c r="B115" s="3" t="n"/>
      <c r="C115" s="3" t="n"/>
      <c r="D115" s="3" t="n"/>
      <c r="E115" s="3" t="n"/>
      <c r="F115" s="3" t="n"/>
      <c r="G115" s="3" t="n"/>
    </row>
    <row r="116">
      <c r="A116" s="3" t="n"/>
      <c r="B116" s="3" t="n"/>
      <c r="C116" s="3" t="n"/>
      <c r="D116" s="3" t="n"/>
      <c r="E116" s="3" t="n"/>
      <c r="F116" s="3" t="n"/>
      <c r="G116" s="3" t="n"/>
    </row>
    <row r="117">
      <c r="A117" s="3" t="n"/>
      <c r="B117" s="3" t="n"/>
      <c r="C117" s="3" t="n"/>
      <c r="D117" s="3" t="n"/>
      <c r="E117" s="3" t="n"/>
      <c r="F117" s="3" t="n"/>
      <c r="G117" s="3" t="n"/>
    </row>
    <row r="118">
      <c r="A118" s="3" t="n"/>
      <c r="B118" s="3" t="n"/>
      <c r="C118" s="3" t="n"/>
      <c r="D118" s="3" t="n"/>
      <c r="E118" s="3" t="n"/>
      <c r="F118" s="3" t="n"/>
      <c r="G118" s="3" t="n"/>
    </row>
    <row r="119">
      <c r="A119" s="3" t="n"/>
      <c r="B119" s="3" t="n"/>
      <c r="C119" s="3" t="n"/>
      <c r="D119" s="3" t="n"/>
      <c r="E119" s="3" t="n"/>
      <c r="F119" s="3" t="n"/>
      <c r="G119" s="3" t="n"/>
    </row>
    <row r="120">
      <c r="A120" s="3" t="n"/>
      <c r="B120" s="3" t="n"/>
      <c r="C120" s="3" t="n"/>
      <c r="D120" s="3" t="n"/>
      <c r="E120" s="3" t="n"/>
      <c r="F120" s="3" t="n"/>
      <c r="G120" s="3" t="n"/>
    </row>
    <row r="121">
      <c r="A121" s="3" t="n"/>
      <c r="B121" s="3" t="n"/>
      <c r="C121" s="3" t="n"/>
      <c r="D121" s="3" t="n"/>
      <c r="E121" s="3" t="n"/>
      <c r="F121" s="3" t="n"/>
      <c r="G121" s="3" t="n"/>
    </row>
    <row r="122">
      <c r="A122" s="3" t="n"/>
      <c r="B122" s="3" t="n"/>
      <c r="C122" s="3" t="n"/>
      <c r="D122" s="3" t="n"/>
      <c r="E122" s="3" t="n"/>
      <c r="F122" s="3" t="n"/>
      <c r="G122" s="3" t="n"/>
    </row>
    <row r="123">
      <c r="A123" s="3" t="n"/>
      <c r="B123" s="3" t="n"/>
      <c r="C123" s="3" t="n"/>
      <c r="D123" s="3" t="n"/>
      <c r="E123" s="3" t="n"/>
      <c r="F123" s="3" t="n"/>
      <c r="G123" s="3" t="n"/>
    </row>
    <row r="124">
      <c r="A124" s="3" t="n"/>
      <c r="B124" s="3" t="n"/>
      <c r="C124" s="3" t="n"/>
      <c r="D124" s="3" t="n"/>
      <c r="E124" s="3" t="n"/>
      <c r="F124" s="3" t="n"/>
      <c r="G124" s="3" t="n"/>
    </row>
    <row r="125">
      <c r="A125" s="3" t="n"/>
      <c r="B125" s="3" t="n"/>
      <c r="C125" s="3" t="n"/>
      <c r="D125" s="3" t="n"/>
      <c r="E125" s="3" t="n"/>
      <c r="F125" s="3" t="n"/>
      <c r="G125" s="3" t="n"/>
    </row>
    <row r="126">
      <c r="A126" s="3" t="n"/>
      <c r="B126" s="3" t="n"/>
      <c r="C126" s="3" t="n"/>
      <c r="D126" s="3" t="n"/>
      <c r="E126" s="3" t="n"/>
      <c r="F126" s="3" t="n"/>
      <c r="G126" s="3" t="n"/>
    </row>
    <row r="127">
      <c r="A127" s="3" t="n"/>
      <c r="B127" s="3" t="n"/>
      <c r="C127" s="3" t="n"/>
      <c r="D127" s="3" t="n"/>
      <c r="E127" s="3" t="n"/>
      <c r="F127" s="3" t="n"/>
      <c r="G127" s="3" t="n"/>
    </row>
    <row r="128">
      <c r="A128" s="3" t="n"/>
      <c r="B128" s="3" t="n"/>
      <c r="C128" s="3" t="n"/>
      <c r="D128" s="3" t="n"/>
      <c r="E128" s="3" t="n"/>
      <c r="F128" s="3" t="n"/>
      <c r="G128" s="3" t="n"/>
    </row>
    <row r="129">
      <c r="A129" s="3" t="n"/>
      <c r="B129" s="3" t="n"/>
      <c r="C129" s="3" t="n"/>
      <c r="D129" s="3" t="n"/>
      <c r="E129" s="3" t="n"/>
      <c r="F129" s="3" t="n"/>
      <c r="G129" s="3" t="n"/>
    </row>
    <row r="130">
      <c r="A130" s="3" t="n"/>
      <c r="B130" s="3" t="n"/>
      <c r="C130" s="3" t="n"/>
      <c r="D130" s="3" t="n"/>
      <c r="E130" s="3" t="n"/>
      <c r="F130" s="3" t="n"/>
      <c r="G130" s="3" t="n"/>
    </row>
    <row r="131">
      <c r="A131" s="3" t="n"/>
      <c r="B131" s="3" t="n"/>
      <c r="C131" s="3" t="n"/>
      <c r="D131" s="3" t="n"/>
      <c r="E131" s="3" t="n"/>
      <c r="F131" s="3" t="n"/>
      <c r="G131" s="3" t="n"/>
    </row>
    <row r="132">
      <c r="A132" s="3" t="n"/>
      <c r="B132" s="3" t="n"/>
      <c r="C132" s="3" t="n"/>
      <c r="D132" s="3" t="n"/>
      <c r="E132" s="3" t="n"/>
      <c r="F132" s="3" t="n"/>
      <c r="G132" s="3" t="n"/>
    </row>
    <row r="133">
      <c r="A133" s="3" t="n"/>
      <c r="B133" s="3" t="n"/>
      <c r="C133" s="3" t="n"/>
      <c r="D133" s="3" t="n"/>
      <c r="E133" s="3" t="n"/>
      <c r="F133" s="3" t="n"/>
      <c r="G133" s="3" t="n"/>
    </row>
    <row r="134">
      <c r="A134" s="3" t="n"/>
      <c r="B134" s="3" t="n"/>
      <c r="C134" s="3" t="n"/>
      <c r="D134" s="3" t="n"/>
      <c r="E134" s="3" t="n"/>
      <c r="F134" s="3" t="n"/>
      <c r="G134" s="3" t="n"/>
    </row>
    <row r="135">
      <c r="A135" s="3" t="n"/>
      <c r="B135" s="3" t="n"/>
      <c r="C135" s="3" t="n"/>
      <c r="D135" s="3" t="n"/>
      <c r="E135" s="3" t="n"/>
      <c r="F135" s="3" t="n"/>
      <c r="G135" s="3" t="n"/>
    </row>
    <row r="136">
      <c r="A136" s="3" t="n"/>
      <c r="B136" s="3" t="n"/>
      <c r="C136" s="3" t="n"/>
      <c r="D136" s="3" t="n"/>
      <c r="E136" s="3" t="n"/>
      <c r="F136" s="3" t="n"/>
      <c r="G136" s="3" t="n"/>
    </row>
    <row r="137">
      <c r="A137" s="3" t="n"/>
      <c r="B137" s="3" t="n"/>
      <c r="C137" s="3" t="n"/>
      <c r="D137" s="3" t="n"/>
      <c r="E137" s="3" t="n"/>
      <c r="F137" s="3" t="n"/>
      <c r="G137" s="3" t="n"/>
    </row>
    <row r="138">
      <c r="A138" s="3" t="n"/>
      <c r="B138" s="3" t="n"/>
      <c r="C138" s="3" t="n"/>
      <c r="D138" s="3" t="n"/>
      <c r="E138" s="3" t="n"/>
      <c r="F138" s="3" t="n"/>
      <c r="G138" s="3" t="n"/>
    </row>
    <row r="139">
      <c r="A139" s="3" t="n"/>
      <c r="B139" s="3" t="n"/>
      <c r="C139" s="3" t="n"/>
      <c r="D139" s="3" t="n"/>
      <c r="E139" s="3" t="n"/>
      <c r="F139" s="3" t="n"/>
      <c r="G139" s="3" t="n"/>
    </row>
    <row r="140">
      <c r="A140" s="3" t="n"/>
      <c r="B140" s="3" t="n"/>
      <c r="C140" s="3" t="n"/>
      <c r="D140" s="3" t="n"/>
      <c r="E140" s="3" t="n"/>
      <c r="F140" s="3" t="n"/>
      <c r="G140" s="3" t="n"/>
    </row>
    <row r="141">
      <c r="A141" s="3" t="n"/>
      <c r="B141" s="3" t="n"/>
      <c r="C141" s="3" t="n"/>
      <c r="D141" s="3" t="n"/>
      <c r="E141" s="3" t="n"/>
      <c r="F141" s="3" t="n"/>
      <c r="G141" s="3" t="n"/>
    </row>
    <row r="142">
      <c r="A142" s="3" t="n"/>
      <c r="B142" s="3" t="n"/>
      <c r="C142" s="3" t="n"/>
      <c r="D142" s="3" t="n"/>
      <c r="E142" s="3" t="n"/>
      <c r="F142" s="3" t="n"/>
      <c r="G142" s="3" t="n"/>
    </row>
    <row r="143">
      <c r="A143" s="3" t="n"/>
      <c r="B143" s="3" t="n"/>
      <c r="C143" s="3" t="n"/>
      <c r="D143" s="3" t="n"/>
      <c r="E143" s="3" t="n"/>
      <c r="F143" s="3" t="n"/>
      <c r="G143" s="3" t="n"/>
    </row>
    <row r="144">
      <c r="A144" s="3" t="n"/>
      <c r="B144" s="3" t="n"/>
      <c r="C144" s="3" t="n"/>
      <c r="D144" s="3" t="n"/>
      <c r="E144" s="3" t="n"/>
      <c r="F144" s="3" t="n"/>
      <c r="G144" s="3" t="n"/>
    </row>
    <row r="145">
      <c r="A145" s="3" t="n"/>
      <c r="B145" s="3" t="n"/>
      <c r="C145" s="3" t="n"/>
      <c r="D145" s="3" t="n"/>
      <c r="E145" s="3" t="n"/>
      <c r="F145" s="3" t="n"/>
      <c r="G145" s="3" t="n"/>
    </row>
    <row r="146">
      <c r="A146" s="3" t="n"/>
      <c r="B146" s="3" t="n"/>
      <c r="C146" s="3" t="n"/>
      <c r="D146" s="3" t="n"/>
      <c r="E146" s="3" t="n"/>
      <c r="F146" s="3" t="n"/>
      <c r="G146" s="3" t="n"/>
    </row>
    <row r="147">
      <c r="A147" s="3" t="n"/>
      <c r="B147" s="3" t="n"/>
      <c r="C147" s="3" t="n"/>
      <c r="D147" s="3" t="n"/>
      <c r="E147" s="3" t="n"/>
      <c r="F147" s="3" t="n"/>
      <c r="G147" s="3" t="n"/>
    </row>
    <row r="148">
      <c r="A148" s="3" t="n"/>
      <c r="B148" s="3" t="n"/>
      <c r="C148" s="3" t="n"/>
      <c r="D148" s="3" t="n"/>
      <c r="E148" s="3" t="n"/>
      <c r="F148" s="3" t="n"/>
      <c r="G148" s="3" t="n"/>
    </row>
    <row r="149">
      <c r="A149" s="3" t="n"/>
      <c r="B149" s="3" t="n"/>
      <c r="C149" s="3" t="n"/>
      <c r="D149" s="3" t="n"/>
      <c r="E149" s="3" t="n"/>
      <c r="F149" s="3" t="n"/>
      <c r="G149" s="3" t="n"/>
    </row>
    <row r="150">
      <c r="A150" s="3" t="n"/>
      <c r="B150" s="3" t="n"/>
      <c r="C150" s="3" t="n"/>
      <c r="D150" s="3" t="n"/>
      <c r="E150" s="3" t="n"/>
      <c r="F150" s="3" t="n"/>
      <c r="G150" s="3" t="n"/>
    </row>
    <row r="151">
      <c r="A151" s="3" t="n"/>
      <c r="B151" s="3" t="n"/>
      <c r="C151" s="3" t="n"/>
      <c r="D151" s="3" t="n"/>
      <c r="E151" s="3" t="n"/>
      <c r="F151" s="3" t="n"/>
      <c r="G151" s="3" t="n"/>
    </row>
    <row r="152">
      <c r="A152" s="3" t="n"/>
      <c r="B152" s="3" t="n"/>
      <c r="C152" s="3" t="n"/>
      <c r="D152" s="3" t="n"/>
      <c r="E152" s="3" t="n"/>
      <c r="F152" s="3" t="n"/>
      <c r="G152" s="3" t="n"/>
    </row>
    <row r="153">
      <c r="A153" s="3" t="n"/>
      <c r="B153" s="3" t="n"/>
      <c r="C153" s="3" t="n"/>
      <c r="D153" s="3" t="n"/>
      <c r="E153" s="3" t="n"/>
      <c r="F153" s="3" t="n"/>
      <c r="G153" s="3" t="n"/>
    </row>
    <row r="154">
      <c r="A154" s="3" t="n"/>
      <c r="B154" s="3" t="n"/>
      <c r="C154" s="3" t="n"/>
      <c r="D154" s="3" t="n"/>
      <c r="E154" s="3" t="n"/>
      <c r="F154" s="3" t="n"/>
      <c r="G154" s="3" t="n"/>
    </row>
    <row r="155">
      <c r="A155" s="3" t="n"/>
      <c r="B155" s="3" t="n"/>
      <c r="C155" s="3" t="n"/>
      <c r="D155" s="3" t="n"/>
      <c r="E155" s="3" t="n"/>
      <c r="F155" s="3" t="n"/>
      <c r="G155" s="3" t="n"/>
    </row>
    <row r="156">
      <c r="A156" s="3" t="n"/>
      <c r="B156" s="3" t="n"/>
      <c r="C156" s="3" t="n"/>
      <c r="D156" s="3" t="n"/>
      <c r="E156" s="3" t="n"/>
      <c r="F156" s="3" t="n"/>
      <c r="G156" s="3" t="n"/>
    </row>
    <row r="157">
      <c r="A157" s="3" t="n"/>
      <c r="B157" s="3" t="n"/>
      <c r="C157" s="3" t="n"/>
      <c r="D157" s="3" t="n"/>
      <c r="E157" s="3" t="n"/>
      <c r="F157" s="3" t="n"/>
      <c r="G157" s="3" t="n"/>
    </row>
    <row r="158">
      <c r="A158" s="3" t="n"/>
      <c r="B158" s="3" t="n"/>
      <c r="C158" s="3" t="n"/>
      <c r="D158" s="3" t="n"/>
      <c r="E158" s="3" t="n"/>
      <c r="F158" s="3" t="n"/>
      <c r="G158" s="3" t="n"/>
    </row>
    <row r="159">
      <c r="A159" s="3" t="n"/>
      <c r="B159" s="3" t="n"/>
      <c r="C159" s="3" t="n"/>
      <c r="D159" s="3" t="n"/>
      <c r="E159" s="3" t="n"/>
      <c r="F159" s="3" t="n"/>
      <c r="G159" s="3" t="n"/>
    </row>
    <row r="160">
      <c r="A160" s="3" t="n"/>
      <c r="B160" s="3" t="n"/>
      <c r="C160" s="3" t="n"/>
      <c r="D160" s="3" t="n"/>
      <c r="E160" s="3" t="n"/>
      <c r="F160" s="3" t="n"/>
      <c r="G160" s="3" t="n"/>
    </row>
    <row r="161">
      <c r="A161" s="3" t="n"/>
      <c r="B161" s="3" t="n"/>
      <c r="C161" s="3" t="n"/>
      <c r="D161" s="3" t="n"/>
      <c r="E161" s="3" t="n"/>
      <c r="F161" s="3" t="n"/>
      <c r="G161" s="3" t="n"/>
    </row>
    <row r="162">
      <c r="A162" s="3" t="n"/>
      <c r="B162" s="3" t="n"/>
      <c r="C162" s="3" t="n"/>
      <c r="D162" s="3" t="n"/>
      <c r="E162" s="3" t="n"/>
      <c r="F162" s="3" t="n"/>
      <c r="G162" s="3" t="n"/>
    </row>
    <row r="163">
      <c r="A163" s="3" t="n"/>
      <c r="B163" s="3" t="n"/>
      <c r="C163" s="3" t="n"/>
      <c r="D163" s="3" t="n"/>
      <c r="E163" s="3" t="n"/>
      <c r="F163" s="3" t="n"/>
      <c r="G163" s="3" t="n"/>
    </row>
    <row r="164">
      <c r="A164" s="3" t="n"/>
      <c r="B164" s="3" t="n"/>
      <c r="C164" s="3" t="n"/>
      <c r="D164" s="3" t="n"/>
      <c r="E164" s="3" t="n"/>
      <c r="F164" s="3" t="n"/>
      <c r="G164" s="3" t="n"/>
    </row>
    <row r="165">
      <c r="A165" s="3" t="n"/>
      <c r="B165" s="3" t="n"/>
      <c r="C165" s="3" t="n"/>
      <c r="D165" s="3" t="n"/>
      <c r="E165" s="3" t="n"/>
      <c r="F165" s="3" t="n"/>
      <c r="G165" s="3" t="n"/>
    </row>
    <row r="166">
      <c r="A166" s="3" t="n"/>
      <c r="B166" s="3" t="n"/>
      <c r="C166" s="3" t="n"/>
      <c r="D166" s="3" t="n"/>
      <c r="E166" s="3" t="n"/>
      <c r="F166" s="3" t="n"/>
      <c r="G166" s="3" t="n"/>
    </row>
    <row r="167">
      <c r="A167" s="3" t="n"/>
      <c r="B167" s="3" t="n"/>
      <c r="C167" s="3" t="n"/>
      <c r="D167" s="3" t="n"/>
      <c r="E167" s="3" t="n"/>
      <c r="F167" s="3" t="n"/>
      <c r="G167" s="3" t="n"/>
    </row>
    <row r="168">
      <c r="A168" s="3" t="n"/>
      <c r="B168" s="3" t="n"/>
      <c r="C168" s="3" t="n"/>
      <c r="D168" s="3" t="n"/>
      <c r="E168" s="3" t="n"/>
      <c r="F168" s="3" t="n"/>
      <c r="G168" s="3" t="n"/>
    </row>
    <row r="169">
      <c r="A169" s="3" t="n"/>
      <c r="B169" s="3" t="n"/>
      <c r="C169" s="3" t="n"/>
      <c r="D169" s="3" t="n"/>
      <c r="E169" s="3" t="n"/>
      <c r="F169" s="3" t="n"/>
      <c r="G169" s="3" t="n"/>
    </row>
    <row r="170">
      <c r="A170" s="3" t="n"/>
      <c r="B170" s="3" t="n"/>
      <c r="C170" s="3" t="n"/>
      <c r="D170" s="3" t="n"/>
      <c r="E170" s="3" t="n"/>
      <c r="F170" s="3" t="n"/>
      <c r="G170" s="3" t="n"/>
    </row>
    <row r="171">
      <c r="A171" s="3" t="n"/>
      <c r="B171" s="3" t="n"/>
      <c r="C171" s="3" t="n"/>
      <c r="D171" s="3" t="n"/>
      <c r="E171" s="3" t="n"/>
      <c r="F171" s="3" t="n"/>
      <c r="G171" s="3" t="n"/>
    </row>
    <row r="172">
      <c r="A172" s="3" t="n"/>
      <c r="B172" s="3" t="n"/>
      <c r="C172" s="3" t="n"/>
      <c r="D172" s="3" t="n"/>
      <c r="E172" s="3" t="n"/>
      <c r="F172" s="3" t="n"/>
      <c r="G172" s="3" t="n"/>
    </row>
    <row r="173">
      <c r="A173" s="3" t="n"/>
      <c r="B173" s="3" t="n"/>
      <c r="C173" s="3" t="n"/>
      <c r="D173" s="3" t="n"/>
      <c r="E173" s="3" t="n"/>
      <c r="F173" s="3" t="n"/>
      <c r="G173" s="3" t="n"/>
    </row>
    <row r="174">
      <c r="A174" s="3" t="n"/>
      <c r="B174" s="3" t="n"/>
      <c r="C174" s="3" t="n"/>
      <c r="D174" s="3" t="n"/>
      <c r="E174" s="3" t="n"/>
      <c r="F174" s="3" t="n"/>
      <c r="G174" s="3" t="n"/>
    </row>
    <row r="175">
      <c r="A175" s="3" t="n"/>
      <c r="B175" s="3" t="n"/>
      <c r="C175" s="3" t="n"/>
      <c r="D175" s="3" t="n"/>
      <c r="E175" s="3" t="n"/>
      <c r="F175" s="3" t="n"/>
      <c r="G175" s="3" t="n"/>
    </row>
    <row r="176">
      <c r="A176" s="3" t="n"/>
      <c r="B176" s="3" t="n"/>
      <c r="C176" s="3" t="n"/>
      <c r="D176" s="3" t="n"/>
      <c r="E176" s="3" t="n"/>
      <c r="F176" s="3" t="n"/>
      <c r="G176" s="3" t="n"/>
    </row>
    <row r="177">
      <c r="A177" s="3" t="n"/>
      <c r="B177" s="3" t="n"/>
      <c r="C177" s="3" t="n"/>
      <c r="D177" s="3" t="n"/>
      <c r="E177" s="3" t="n"/>
      <c r="F177" s="3" t="n"/>
      <c r="G177" s="3" t="n"/>
    </row>
    <row r="178">
      <c r="A178" s="3" t="n"/>
      <c r="B178" s="3" t="n"/>
      <c r="C178" s="3" t="n"/>
      <c r="D178" s="3" t="n"/>
      <c r="E178" s="3" t="n"/>
      <c r="F178" s="3" t="n"/>
      <c r="G178" s="3" t="n"/>
    </row>
    <row r="179">
      <c r="A179" s="3" t="n"/>
      <c r="B179" s="3" t="n"/>
      <c r="C179" s="3" t="n"/>
      <c r="D179" s="3" t="n"/>
      <c r="E179" s="3" t="n"/>
      <c r="F179" s="3" t="n"/>
      <c r="G179" s="3" t="n"/>
    </row>
    <row r="180">
      <c r="A180" s="3" t="n"/>
      <c r="B180" s="3" t="n"/>
      <c r="C180" s="3" t="n"/>
      <c r="D180" s="3" t="n"/>
      <c r="E180" s="3" t="n"/>
      <c r="F180" s="3" t="n"/>
      <c r="G180" s="3" t="n"/>
    </row>
    <row r="181">
      <c r="A181" s="3" t="n"/>
      <c r="B181" s="3" t="n"/>
      <c r="C181" s="3" t="n"/>
      <c r="D181" s="3" t="n"/>
      <c r="E181" s="3" t="n"/>
      <c r="F181" s="3" t="n"/>
      <c r="G181" s="3" t="n"/>
    </row>
    <row r="182">
      <c r="A182" s="3" t="n"/>
      <c r="B182" s="3" t="n"/>
      <c r="C182" s="3" t="n"/>
      <c r="D182" s="3" t="n"/>
      <c r="E182" s="3" t="n"/>
      <c r="F182" s="3" t="n"/>
      <c r="G182" s="3" t="n"/>
    </row>
    <row r="183">
      <c r="A183" s="3" t="n"/>
      <c r="B183" s="3" t="n"/>
      <c r="C183" s="3" t="n"/>
      <c r="D183" s="3" t="n"/>
      <c r="E183" s="3" t="n"/>
      <c r="F183" s="3" t="n"/>
      <c r="G183" s="3" t="n"/>
    </row>
    <row r="184">
      <c r="A184" s="3" t="n"/>
      <c r="B184" s="3" t="n"/>
      <c r="C184" s="3" t="n"/>
      <c r="D184" s="3" t="n"/>
      <c r="E184" s="3" t="n"/>
      <c r="F184" s="3" t="n"/>
      <c r="G184" s="3" t="n"/>
    </row>
    <row r="185">
      <c r="A185" s="3" t="n"/>
      <c r="B185" s="3" t="n"/>
      <c r="C185" s="3" t="n"/>
      <c r="D185" s="3" t="n"/>
      <c r="E185" s="3" t="n"/>
      <c r="F185" s="3" t="n"/>
      <c r="G185" s="3" t="n"/>
    </row>
    <row r="186">
      <c r="A186" s="3" t="n"/>
      <c r="B186" s="3" t="n"/>
      <c r="C186" s="3" t="n"/>
      <c r="D186" s="3" t="n"/>
      <c r="E186" s="3" t="n"/>
      <c r="F186" s="3" t="n"/>
      <c r="G186" s="3" t="n"/>
    </row>
    <row r="187">
      <c r="A187" s="3" t="n"/>
      <c r="B187" s="3" t="n"/>
      <c r="C187" s="3" t="n"/>
      <c r="D187" s="3" t="n"/>
      <c r="E187" s="3" t="n"/>
      <c r="F187" s="3" t="n"/>
      <c r="G187" s="3" t="n"/>
    </row>
    <row r="188">
      <c r="A188" s="3" t="n"/>
      <c r="B188" s="3" t="n"/>
      <c r="C188" s="3" t="n"/>
      <c r="D188" s="3" t="n"/>
      <c r="E188" s="3" t="n"/>
      <c r="F188" s="3" t="n"/>
      <c r="G188" s="3" t="n"/>
    </row>
    <row r="189">
      <c r="A189" s="3" t="n"/>
      <c r="B189" s="3" t="n"/>
      <c r="C189" s="3" t="n"/>
      <c r="D189" s="3" t="n"/>
      <c r="E189" s="3" t="n"/>
      <c r="F189" s="3" t="n"/>
      <c r="G189" s="3" t="n"/>
    </row>
    <row r="190">
      <c r="A190" s="3" t="n"/>
      <c r="B190" s="3" t="n"/>
      <c r="C190" s="3" t="n"/>
      <c r="D190" s="3" t="n"/>
      <c r="E190" s="3" t="n"/>
      <c r="F190" s="3" t="n"/>
      <c r="G190" s="3" t="n"/>
    </row>
    <row r="191">
      <c r="A191" s="3" t="n"/>
      <c r="B191" s="3" t="n"/>
      <c r="C191" s="3" t="n"/>
      <c r="D191" s="3" t="n"/>
      <c r="E191" s="3" t="n"/>
      <c r="F191" s="3" t="n"/>
      <c r="G191" s="3" t="n"/>
    </row>
    <row r="192">
      <c r="A192" s="3" t="n"/>
      <c r="B192" s="3" t="n"/>
      <c r="C192" s="3" t="n"/>
      <c r="D192" s="3" t="n"/>
      <c r="E192" s="3" t="n"/>
      <c r="F192" s="3" t="n"/>
      <c r="G192" s="3" t="n"/>
    </row>
    <row r="193">
      <c r="A193" s="3" t="n"/>
      <c r="B193" s="3" t="n"/>
      <c r="C193" s="3" t="n"/>
      <c r="D193" s="3" t="n"/>
      <c r="E193" s="3" t="n"/>
      <c r="F193" s="3" t="n"/>
      <c r="G193" s="3" t="n"/>
    </row>
    <row r="194">
      <c r="A194" s="3" t="n"/>
      <c r="B194" s="3" t="n"/>
      <c r="C194" s="3" t="n"/>
      <c r="D194" s="3" t="n"/>
      <c r="E194" s="3" t="n"/>
      <c r="F194" s="3" t="n"/>
      <c r="G194" s="3" t="n"/>
    </row>
    <row r="195">
      <c r="A195" s="3" t="n"/>
      <c r="B195" s="3" t="n"/>
      <c r="C195" s="3" t="n"/>
      <c r="D195" s="3" t="n"/>
      <c r="E195" s="3" t="n"/>
      <c r="F195" s="3" t="n"/>
      <c r="G195" s="3" t="n"/>
    </row>
    <row r="196">
      <c r="A196" s="3" t="n"/>
      <c r="B196" s="3" t="n"/>
      <c r="C196" s="3" t="n"/>
      <c r="D196" s="3" t="n"/>
      <c r="E196" s="3" t="n"/>
      <c r="F196" s="3" t="n"/>
      <c r="G196" s="3" t="n"/>
    </row>
    <row r="197">
      <c r="A197" s="3" t="n"/>
      <c r="B197" s="3" t="n"/>
      <c r="C197" s="3" t="n"/>
      <c r="D197" s="3" t="n"/>
      <c r="E197" s="3" t="n"/>
      <c r="F197" s="3" t="n"/>
      <c r="G197" s="3" t="n"/>
    </row>
    <row r="198">
      <c r="A198" s="3" t="n"/>
      <c r="B198" s="3" t="n"/>
      <c r="C198" s="3" t="n"/>
      <c r="D198" s="3" t="n"/>
      <c r="E198" s="3" t="n"/>
      <c r="F198" s="3" t="n"/>
      <c r="G198" s="3" t="n"/>
    </row>
    <row r="199">
      <c r="A199" s="3" t="n"/>
      <c r="B199" s="3" t="n"/>
      <c r="C199" s="3" t="n"/>
      <c r="D199" s="3" t="n"/>
      <c r="E199" s="3" t="n"/>
      <c r="F199" s="3" t="n"/>
      <c r="G199" s="3" t="n"/>
    </row>
    <row r="200">
      <c r="A200" s="3" t="n"/>
      <c r="B200" s="3" t="n"/>
      <c r="C200" s="3" t="n"/>
      <c r="D200" s="3" t="n"/>
      <c r="E200" s="3" t="n"/>
      <c r="F200" s="3" t="n"/>
      <c r="G200" s="3" t="n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4" customWidth="1" min="3" max="3"/>
    <col width="14" customWidth="1" min="4" max="4"/>
    <col width="18" customWidth="1" min="5" max="5"/>
    <col width="18" customWidth="1" min="6" max="6"/>
    <col width="4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DASHBOARD DE PAGOS A PROVEEDORES</t>
        </is>
      </c>
    </row>
    <row r="3">
      <c r="A3" s="11" t="inlineStr">
        <is>
          <t>Indicadores principales</t>
        </is>
      </c>
      <c r="B3" s="12" t="n"/>
      <c r="C3" s="12" t="n"/>
      <c r="D3" s="12" t="n"/>
      <c r="E3" s="12" t="n"/>
      <c r="F3" s="12" t="n"/>
    </row>
    <row r="4">
      <c r="A4" s="13" t="inlineStr">
        <is>
          <t>Total OC</t>
        </is>
      </c>
      <c r="B4" s="14">
        <f>SUM('Control OC'!$F$3:$F$301)</f>
        <v/>
      </c>
      <c r="C4" s="12" t="n"/>
      <c r="D4" s="12" t="n"/>
      <c r="E4" s="12" t="n"/>
      <c r="F4" s="12" t="n"/>
    </row>
    <row r="5">
      <c r="A5" s="13" t="inlineStr">
        <is>
          <t>Total Pagado</t>
        </is>
      </c>
      <c r="B5" s="14">
        <f>SUM('Control OC'!$G$3:$G$301)</f>
        <v/>
      </c>
      <c r="C5" s="12" t="n"/>
      <c r="D5" s="12" t="n"/>
      <c r="E5" s="12" t="n"/>
      <c r="F5" s="12" t="n"/>
    </row>
    <row r="6">
      <c r="A6" s="13" t="inlineStr">
        <is>
          <t>Saldo Pendiente</t>
        </is>
      </c>
      <c r="B6" s="14">
        <f>SUM('Control OC'!$H$3:$H$301)</f>
        <v/>
      </c>
      <c r="C6" s="12" t="n"/>
      <c r="D6" s="12" t="n"/>
      <c r="E6" s="12" t="n"/>
      <c r="F6" s="12" t="n"/>
    </row>
    <row r="7">
      <c r="A7" s="13" t="inlineStr">
        <is>
          <t>OC Vencidas</t>
        </is>
      </c>
      <c r="B7" s="15">
        <f>COUNTIF('Control OC'!$M$3:$M$301,"Vencida")</f>
        <v/>
      </c>
      <c r="C7" s="12" t="n"/>
      <c r="D7" s="12" t="n"/>
      <c r="E7" s="12" t="n"/>
      <c r="F7" s="12" t="n"/>
    </row>
    <row r="8">
      <c r="A8" s="13" t="inlineStr">
        <is>
          <t>Pagos próximos 7 días</t>
        </is>
      </c>
      <c r="B8" s="15">
        <f>COUNTIFS('Control OC'!$K$3:$K$301,"&gt;="&amp;TODAY(),'Control OC'!$K$3:$K$301,"&lt;="&amp;TODAY()+7,'Control OC'!$H$3:$H$301,"&gt;0")</f>
        <v/>
      </c>
      <c r="C8" s="12" t="n"/>
      <c r="D8" s="12" t="n"/>
      <c r="E8" s="12" t="n"/>
      <c r="F8" s="12" t="n"/>
    </row>
    <row r="9">
      <c r="A9" s="12" t="n"/>
      <c r="B9" s="12" t="n"/>
      <c r="C9" s="12" t="n"/>
      <c r="D9" s="12" t="n"/>
      <c r="E9" s="12" t="n"/>
      <c r="F9" s="12" t="n"/>
    </row>
    <row r="10">
      <c r="A10" s="12" t="n"/>
      <c r="B10" s="12" t="n"/>
      <c r="C10" s="12" t="n"/>
      <c r="D10" s="12" t="n"/>
      <c r="E10" s="12" t="n"/>
      <c r="F10" s="12" t="n"/>
    </row>
    <row r="11">
      <c r="A11" s="11" t="inlineStr">
        <is>
          <t>Estatus</t>
        </is>
      </c>
      <c r="B11" s="11" t="inlineStr">
        <is>
          <t>Cantidad</t>
        </is>
      </c>
      <c r="C11" s="12" t="n"/>
      <c r="D11" s="11" t="inlineStr">
        <is>
          <t>Mes</t>
        </is>
      </c>
      <c r="E11" s="11" t="inlineStr">
        <is>
          <t>Pagos Programados</t>
        </is>
      </c>
      <c r="F11" s="11" t="inlineStr">
        <is>
          <t>Pagos Realizados</t>
        </is>
      </c>
    </row>
    <row r="12">
      <c r="A12" s="12" t="inlineStr">
        <is>
          <t>Pendiente</t>
        </is>
      </c>
      <c r="B12" s="12">
        <f>COUNTIF('Control OC'!$M$3:$M$301,A12)</f>
        <v/>
      </c>
      <c r="C12" s="12" t="n"/>
      <c r="D12" s="16" t="n">
        <v>45658</v>
      </c>
      <c r="E12" s="17">
        <f>SUMIFS(Pagos!$D:$D,Pagos!$C:$C,"&gt;="&amp;D12,Pagos!$C:$C,"&lt;"&amp;EDATE(D12,1),Pagos!$F:$F,"Programado")</f>
        <v/>
      </c>
      <c r="F12" s="17">
        <f>SUMIFS(Pagos!$D:$D,Pagos!$C:$C,"&gt;="&amp;D12,Pagos!$C:$C,"&lt;"&amp;EDATE(D12,1),Pagos!$F:$F,"Pagado")</f>
        <v/>
      </c>
    </row>
    <row r="13">
      <c r="A13" s="12" t="inlineStr">
        <is>
          <t>Parcial</t>
        </is>
      </c>
      <c r="B13" s="12">
        <f>COUNTIF('Control OC'!$M$3:$M$301,A13)</f>
        <v/>
      </c>
      <c r="C13" s="12" t="n"/>
      <c r="D13" s="16" t="n">
        <v>45689</v>
      </c>
      <c r="E13" s="17">
        <f>SUMIFS(Pagos!$D:$D,Pagos!$C:$C,"&gt;="&amp;D13,Pagos!$C:$C,"&lt;"&amp;EDATE(D13,1),Pagos!$F:$F,"Programado")</f>
        <v/>
      </c>
      <c r="F13" s="17">
        <f>SUMIFS(Pagos!$D:$D,Pagos!$C:$C,"&gt;="&amp;D13,Pagos!$C:$C,"&lt;"&amp;EDATE(D13,1),Pagos!$F:$F,"Pagado")</f>
        <v/>
      </c>
    </row>
    <row r="14">
      <c r="A14" s="12" t="inlineStr">
        <is>
          <t>Liquidada</t>
        </is>
      </c>
      <c r="B14" s="12">
        <f>COUNTIF('Control OC'!$M$3:$M$301,A14)</f>
        <v/>
      </c>
      <c r="C14" s="12" t="n"/>
      <c r="D14" s="16" t="n">
        <v>45717</v>
      </c>
      <c r="E14" s="17">
        <f>SUMIFS(Pagos!$D:$D,Pagos!$C:$C,"&gt;="&amp;D14,Pagos!$C:$C,"&lt;"&amp;EDATE(D14,1),Pagos!$F:$F,"Programado")</f>
        <v/>
      </c>
      <c r="F14" s="17">
        <f>SUMIFS(Pagos!$D:$D,Pagos!$C:$C,"&gt;="&amp;D14,Pagos!$C:$C,"&lt;"&amp;EDATE(D14,1),Pagos!$F:$F,"Pagado")</f>
        <v/>
      </c>
    </row>
    <row r="15">
      <c r="A15" s="12" t="inlineStr">
        <is>
          <t>Vencida</t>
        </is>
      </c>
      <c r="B15" s="12">
        <f>COUNTIF('Control OC'!$M$3:$M$301,A15)</f>
        <v/>
      </c>
      <c r="C15" s="12" t="n"/>
      <c r="D15" s="16" t="n">
        <v>45748</v>
      </c>
      <c r="E15" s="17">
        <f>SUMIFS(Pagos!$D:$D,Pagos!$C:$C,"&gt;="&amp;D15,Pagos!$C:$C,"&lt;"&amp;EDATE(D15,1),Pagos!$F:$F,"Programado")</f>
        <v/>
      </c>
      <c r="F15" s="17">
        <f>SUMIFS(Pagos!$D:$D,Pagos!$C:$C,"&gt;="&amp;D15,Pagos!$C:$C,"&lt;"&amp;EDATE(D15,1),Pagos!$F:$F,"Pagado")</f>
        <v/>
      </c>
    </row>
    <row r="16">
      <c r="A16" s="12" t="inlineStr">
        <is>
          <t>Cancelada</t>
        </is>
      </c>
      <c r="B16" s="12">
        <f>COUNTIF('Control OC'!$M$3:$M$301,A16)</f>
        <v/>
      </c>
      <c r="C16" s="12" t="n"/>
      <c r="D16" s="16" t="n">
        <v>45778</v>
      </c>
      <c r="E16" s="17">
        <f>SUMIFS(Pagos!$D:$D,Pagos!$C:$C,"&gt;="&amp;D16,Pagos!$C:$C,"&lt;"&amp;EDATE(D16,1),Pagos!$F:$F,"Programado")</f>
        <v/>
      </c>
      <c r="F16" s="17">
        <f>SUMIFS(Pagos!$D:$D,Pagos!$C:$C,"&gt;="&amp;D16,Pagos!$C:$C,"&lt;"&amp;EDATE(D16,1),Pagos!$F:$F,"Pagado")</f>
        <v/>
      </c>
    </row>
    <row r="17">
      <c r="A17" s="12" t="n"/>
      <c r="B17" s="12" t="n"/>
      <c r="C17" s="12" t="n"/>
      <c r="D17" s="16" t="n">
        <v>45809</v>
      </c>
      <c r="E17" s="17">
        <f>SUMIFS(Pagos!$D:$D,Pagos!$C:$C,"&gt;="&amp;D17,Pagos!$C:$C,"&lt;"&amp;EDATE(D17,1),Pagos!$F:$F,"Programado")</f>
        <v/>
      </c>
      <c r="F17" s="17">
        <f>SUMIFS(Pagos!$D:$D,Pagos!$C:$C,"&gt;="&amp;D17,Pagos!$C:$C,"&lt;"&amp;EDATE(D17,1),Pagos!$F:$F,"Pagado")</f>
        <v/>
      </c>
    </row>
    <row r="18">
      <c r="A18" s="12" t="n"/>
      <c r="B18" s="12" t="n"/>
      <c r="C18" s="12" t="n"/>
      <c r="D18" s="16" t="n">
        <v>45839</v>
      </c>
      <c r="E18" s="17">
        <f>SUMIFS(Pagos!$D:$D,Pagos!$C:$C,"&gt;="&amp;D18,Pagos!$C:$C,"&lt;"&amp;EDATE(D18,1),Pagos!$F:$F,"Programado")</f>
        <v/>
      </c>
      <c r="F18" s="17">
        <f>SUMIFS(Pagos!$D:$D,Pagos!$C:$C,"&gt;="&amp;D18,Pagos!$C:$C,"&lt;"&amp;EDATE(D18,1),Pagos!$F:$F,"Pagado")</f>
        <v/>
      </c>
    </row>
    <row r="19">
      <c r="A19" s="12" t="n"/>
      <c r="B19" s="12" t="n"/>
      <c r="C19" s="12" t="n"/>
      <c r="D19" s="16" t="n">
        <v>45870</v>
      </c>
      <c r="E19" s="17">
        <f>SUMIFS(Pagos!$D:$D,Pagos!$C:$C,"&gt;="&amp;D19,Pagos!$C:$C,"&lt;"&amp;EDATE(D19,1),Pagos!$F:$F,"Programado")</f>
        <v/>
      </c>
      <c r="F19" s="17">
        <f>SUMIFS(Pagos!$D:$D,Pagos!$C:$C,"&gt;="&amp;D19,Pagos!$C:$C,"&lt;"&amp;EDATE(D19,1),Pagos!$F:$F,"Pagado")</f>
        <v/>
      </c>
    </row>
    <row r="20">
      <c r="A20" s="12" t="n"/>
      <c r="B20" s="12" t="n"/>
      <c r="C20" s="12" t="n"/>
      <c r="D20" s="16" t="n">
        <v>45901</v>
      </c>
      <c r="E20" s="17">
        <f>SUMIFS(Pagos!$D:$D,Pagos!$C:$C,"&gt;="&amp;D20,Pagos!$C:$C,"&lt;"&amp;EDATE(D20,1),Pagos!$F:$F,"Programado")</f>
        <v/>
      </c>
      <c r="F20" s="17">
        <f>SUMIFS(Pagos!$D:$D,Pagos!$C:$C,"&gt;="&amp;D20,Pagos!$C:$C,"&lt;"&amp;EDATE(D20,1),Pagos!$F:$F,"Pagado")</f>
        <v/>
      </c>
    </row>
    <row r="21">
      <c r="A21" s="12" t="n"/>
      <c r="B21" s="12" t="n"/>
      <c r="C21" s="12" t="n"/>
      <c r="D21" s="16" t="n">
        <v>45931</v>
      </c>
      <c r="E21" s="17">
        <f>SUMIFS(Pagos!$D:$D,Pagos!$C:$C,"&gt;="&amp;D21,Pagos!$C:$C,"&lt;"&amp;EDATE(D21,1),Pagos!$F:$F,"Programado")</f>
        <v/>
      </c>
      <c r="F21" s="17">
        <f>SUMIFS(Pagos!$D:$D,Pagos!$C:$C,"&gt;="&amp;D21,Pagos!$C:$C,"&lt;"&amp;EDATE(D21,1),Pagos!$F:$F,"Pagado")</f>
        <v/>
      </c>
    </row>
    <row r="22">
      <c r="A22" s="12" t="n"/>
      <c r="B22" s="12" t="n"/>
      <c r="C22" s="12" t="n"/>
      <c r="D22" s="16" t="n">
        <v>45962</v>
      </c>
      <c r="E22" s="17">
        <f>SUMIFS(Pagos!$D:$D,Pagos!$C:$C,"&gt;="&amp;D22,Pagos!$C:$C,"&lt;"&amp;EDATE(D22,1),Pagos!$F:$F,"Programado")</f>
        <v/>
      </c>
      <c r="F22" s="17">
        <f>SUMIFS(Pagos!$D:$D,Pagos!$C:$C,"&gt;="&amp;D22,Pagos!$C:$C,"&lt;"&amp;EDATE(D22,1),Pagos!$F:$F,"Pagado")</f>
        <v/>
      </c>
    </row>
    <row r="23">
      <c r="A23" s="12" t="n"/>
      <c r="B23" s="12" t="n"/>
      <c r="C23" s="12" t="n"/>
      <c r="D23" s="16" t="n">
        <v>45992</v>
      </c>
      <c r="E23" s="17">
        <f>SUMIFS(Pagos!$D:$D,Pagos!$C:$C,"&gt;="&amp;D23,Pagos!$C:$C,"&lt;"&amp;EDATE(D23,1),Pagos!$F:$F,"Programado")</f>
        <v/>
      </c>
      <c r="F23" s="17">
        <f>SUMIFS(Pagos!$D:$D,Pagos!$C:$C,"&gt;="&amp;D23,Pagos!$C:$C,"&lt;"&amp;EDATE(D23,1),Pagos!$F:$F,"Pagado")</f>
        <v/>
      </c>
    </row>
    <row r="24">
      <c r="A24" s="12" t="n"/>
      <c r="B24" s="12" t="n"/>
      <c r="C24" s="12" t="n"/>
      <c r="D24" s="12" t="n"/>
      <c r="E24" s="12" t="n"/>
      <c r="F24" s="12" t="n"/>
    </row>
    <row r="25">
      <c r="A25" s="12" t="n"/>
      <c r="B25" s="12" t="n"/>
      <c r="C25" s="12" t="n"/>
      <c r="D25" s="12" t="n"/>
      <c r="E25" s="12" t="n"/>
      <c r="F25" s="12" t="n"/>
    </row>
  </sheetData>
  <mergeCells count="2">
    <mergeCell ref="A1:J1"/>
    <mergeCell ref="A3:B3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80" customWidth="1" min="3" max="3"/>
  </cols>
  <sheetData>
    <row r="1">
      <c r="A1" s="1" t="inlineStr">
        <is>
          <t>GUÍA RÁPIDA DE USO</t>
        </is>
      </c>
    </row>
    <row r="2">
      <c r="A2" s="18" t="inlineStr">
        <is>
          <t>No.</t>
        </is>
      </c>
      <c r="B2" s="18" t="inlineStr">
        <is>
          <t>Sección</t>
        </is>
      </c>
      <c r="C2" s="18" t="inlineStr">
        <is>
          <t>Qué hacer</t>
        </is>
      </c>
    </row>
    <row r="3">
      <c r="A3" s="19" t="inlineStr">
        <is>
          <t>1</t>
        </is>
      </c>
      <c r="B3" s="19" t="inlineStr">
        <is>
          <t>Carga proveedores</t>
        </is>
      </c>
      <c r="C3" s="19" t="inlineStr">
        <is>
          <t>En la hoja Proveedores registra el catálogo. Después podrás seleccionarlos en Control OC.</t>
        </is>
      </c>
    </row>
    <row r="4">
      <c r="A4" s="19" t="inlineStr">
        <is>
          <t>2</t>
        </is>
      </c>
      <c r="B4" s="19" t="inlineStr">
        <is>
          <t>Registra cada OC</t>
        </is>
      </c>
      <c r="C4" s="19" t="inlineStr">
        <is>
          <t>En Control OC captura OC, fecha, proveedor, descripción, condiciones, monto total, responsable y comentarios.</t>
        </is>
      </c>
    </row>
    <row r="5">
      <c r="A5" s="19" t="inlineStr">
        <is>
          <t>3</t>
        </is>
      </c>
      <c r="B5" s="19" t="inlineStr">
        <is>
          <t>Registra abonos</t>
        </is>
      </c>
      <c r="C5" s="19" t="inlineStr">
        <is>
          <t>En Pagos captura cada abono con OC, número de abono, fecha, importe y Estado Pago.</t>
        </is>
      </c>
    </row>
    <row r="6">
      <c r="A6" s="19" t="inlineStr">
        <is>
          <t>4</t>
        </is>
      </c>
      <c r="B6" s="19" t="inlineStr">
        <is>
          <t>Consulta saldos</t>
        </is>
      </c>
      <c r="C6" s="19" t="inlineStr">
        <is>
          <t>Control OC calcula pagado, saldo, porcentaje, último pago, próximo pago y estatus automáticamente.</t>
        </is>
      </c>
    </row>
    <row r="7">
      <c r="A7" s="19" t="inlineStr">
        <is>
          <t>5</t>
        </is>
      </c>
      <c r="B7" s="19" t="inlineStr">
        <is>
          <t>Revisa dashboard</t>
        </is>
      </c>
      <c r="C7" s="19" t="inlineStr">
        <is>
          <t>El Dashboard muestra total comprado, total pagado, saldo pendiente, OC vencidas y pagos próximos.</t>
        </is>
      </c>
    </row>
    <row r="8">
      <c r="A8" s="19" t="inlineStr">
        <is>
          <t>Nota</t>
        </is>
      </c>
      <c r="B8" s="19" t="inlineStr">
        <is>
          <t>Celdas azules</t>
        </is>
      </c>
      <c r="C8" s="19" t="inlineStr">
        <is>
          <t>Son campos de captura. Las celdas en negro son fórmulas: evita escribir encima de ellas.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sheetData>
    <row r="1">
      <c r="A1" t="inlineStr">
        <is>
          <t>Estatus OC</t>
        </is>
      </c>
      <c r="C1" t="inlineStr">
        <is>
          <t>Estado Pago</t>
        </is>
      </c>
      <c r="E1" t="inlineStr">
        <is>
          <t>Condiciones</t>
        </is>
      </c>
    </row>
    <row r="2">
      <c r="A2" t="inlineStr">
        <is>
          <t>Pendiente</t>
        </is>
      </c>
      <c r="C2" t="inlineStr">
        <is>
          <t>Pagado</t>
        </is>
      </c>
      <c r="E2" t="inlineStr">
        <is>
          <t>Contado</t>
        </is>
      </c>
    </row>
    <row r="3">
      <c r="A3" t="inlineStr">
        <is>
          <t>Parcial</t>
        </is>
      </c>
      <c r="C3" t="inlineStr">
        <is>
          <t>Programado</t>
        </is>
      </c>
      <c r="E3" t="inlineStr">
        <is>
          <t>Crédito</t>
        </is>
      </c>
    </row>
    <row r="4">
      <c r="A4" t="inlineStr">
        <is>
          <t>Liquidada</t>
        </is>
      </c>
      <c r="C4" t="inlineStr">
        <is>
          <t>Cancelado</t>
        </is>
      </c>
      <c r="E4" t="inlineStr">
        <is>
          <t>Anticipo</t>
        </is>
      </c>
    </row>
    <row r="5">
      <c r="A5" t="inlineStr">
        <is>
          <t>Vencida</t>
        </is>
      </c>
      <c r="E5" t="inlineStr">
        <is>
          <t>Contra entrega</t>
        </is>
      </c>
    </row>
    <row r="6">
      <c r="A6" t="inlineStr">
        <is>
          <t>Cancelada</t>
        </is>
      </c>
      <c r="E6" t="inlineStr">
        <is>
          <t>Parcialidades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2026-06-02T17:11:29Z</dcterms:created>
  <dcterms:modified xmlns:dcterms="http://purl.org/dc/terms/" xmlns:xsi="http://www.w3.org/2001/XMLSchema-instance" xsi:type="dcterms:W3CDTF">2026-06-02T17:11:30Z</dcterms:modified>
</cp:coreProperties>
</file>